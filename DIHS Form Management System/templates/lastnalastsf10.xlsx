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autoCompressPictures="0"/>
  <mc:AlternateContent xmlns:mc="http://schemas.openxmlformats.org/markup-compatibility/2006">
    <mc:Choice Requires="x15">
      <x15ac:absPath xmlns:x15ac="http://schemas.microsoft.com/office/spreadsheetml/2010/11/ac" url="C:\xampp\htdocs\systemdihs\templates\"/>
    </mc:Choice>
  </mc:AlternateContent>
  <xr:revisionPtr revIDLastSave="0" documentId="8_{8F10A205-146B-46D8-8801-24519038A694}" xr6:coauthVersionLast="47" xr6:coauthVersionMax="47" xr10:uidLastSave="{00000000-0000-0000-0000-000000000000}"/>
  <bookViews>
    <workbookView xWindow="-110" yWindow="-110" windowWidth="25820" windowHeight="13900" tabRatio="716" xr2:uid="{00000000-000D-0000-FFFF-FFFF00000000}"/>
  </bookViews>
  <sheets>
    <sheet name="SF10 FRONT" sheetId="1" r:id="rId1"/>
    <sheet name="SF10 BACK" sheetId="2" r:id="rId2"/>
    <sheet name="Helper(IMPORTANT!)" sheetId="4" state="veryHidden" r:id="rId3"/>
  </sheets>
  <definedNames>
    <definedName name="Applied">'Helper(IMPORTANT!)'!$D$4:$D$11</definedName>
    <definedName name="Core">'Helper(IMPORTANT!)'!$C$4:$C$22</definedName>
    <definedName name="ngoyab">'SF10 FRONT'!$A$6:$BO$20</definedName>
    <definedName name="Other_Subjects">'Helper(IMPORTANT!)'!$F$4:$F$6</definedName>
    <definedName name="_xlnm.Print_Area" localSheetId="1">'SF10 BACK'!$A$1:$BO$114</definedName>
    <definedName name="_xlnm.Print_Area" localSheetId="0">'SF10 FRONT'!$A$1:$BO$106</definedName>
    <definedName name="Specialized">'Helper(IMPORTANT!)'!$E$4:$E$12</definedName>
    <definedName name="STRAND">#REF!</definedName>
    <definedName name="Z_10225561_8BCB_4AAB_A96B_034D76D8C0EB_.wvu.Cols" localSheetId="0" hidden="1">'SF10 FRONT'!$SED:$SED</definedName>
    <definedName name="Z_10225561_8BCB_4AAB_A96B_034D76D8C0EB_.wvu.PrintArea" localSheetId="0" hidden="1">'SF10 FRONT'!$A$1:$BO$106</definedName>
    <definedName name="Z_10225561_8BCB_4AAB_A96B_034D76D8C0EB_.wvu.Rows" localSheetId="2" hidden="1">'Helper(IMPORTANT!)'!$3:$99</definedName>
    <definedName name="Z_10225561_8BCB_4AAB_A96B_034D76D8C0EB_.wvu.Rows" localSheetId="0" hidden="1">'SF10 FRONT'!$992:$992</definedName>
  </definedNames>
  <calcPr calcId="191029"/>
  <customWorkbookViews>
    <customWorkbookView name="User - Personal View" guid="{10225561-8BCB-4AAB-A96B-034D76D8C0EB}" mergeInterval="0" personalView="1" maximized="1" xWindow="-8" yWindow="-8" windowWidth="1382" windowHeight="744"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Y92" i="1" l="1"/>
  <c r="A92" i="1"/>
  <c r="B99" i="4" l="1"/>
  <c r="B98" i="4"/>
  <c r="B97" i="4"/>
  <c r="B96" i="4"/>
  <c r="B95" i="4"/>
  <c r="B94" i="4"/>
  <c r="B93" i="4"/>
  <c r="B92" i="4"/>
  <c r="B91" i="4"/>
  <c r="B90" i="4"/>
  <c r="B89" i="4"/>
  <c r="B88" i="4"/>
  <c r="L87" i="4"/>
  <c r="J86" i="4"/>
  <c r="J85" i="4"/>
  <c r="K84" i="4"/>
  <c r="L84" i="4" s="1"/>
  <c r="J84" i="4"/>
  <c r="K83" i="4"/>
  <c r="L83" i="4" s="1"/>
  <c r="J83" i="4"/>
  <c r="K82" i="4"/>
  <c r="L82" i="4" s="1"/>
  <c r="J82" i="4"/>
  <c r="K81" i="4"/>
  <c r="L81" i="4" s="1"/>
  <c r="J81" i="4"/>
  <c r="J80" i="4"/>
  <c r="J79" i="4"/>
  <c r="B75" i="4"/>
  <c r="B74" i="4"/>
  <c r="B73" i="4"/>
  <c r="B72" i="4"/>
  <c r="B71" i="4"/>
  <c r="B70" i="4"/>
  <c r="B69" i="4"/>
  <c r="B68" i="4"/>
  <c r="B67" i="4"/>
  <c r="J66" i="4"/>
  <c r="B66" i="4"/>
  <c r="J65" i="4"/>
  <c r="B65" i="4"/>
  <c r="K64" i="4"/>
  <c r="L64" i="4" s="1"/>
  <c r="J64" i="4"/>
  <c r="B64" i="4"/>
  <c r="K63" i="4"/>
  <c r="L63" i="4" s="1"/>
  <c r="J63" i="4"/>
  <c r="K62" i="4"/>
  <c r="L62" i="4" s="1"/>
  <c r="J62" i="4"/>
  <c r="K61" i="4"/>
  <c r="L61" i="4" s="1"/>
  <c r="J61" i="4"/>
  <c r="J60" i="4"/>
  <c r="J59" i="4"/>
  <c r="B51" i="4"/>
  <c r="B50" i="4"/>
  <c r="B49" i="4"/>
  <c r="B48" i="4"/>
  <c r="B47" i="4"/>
  <c r="J46" i="4"/>
  <c r="B46" i="4"/>
  <c r="J45" i="4"/>
  <c r="B45" i="4"/>
  <c r="K44" i="4"/>
  <c r="L44" i="4" s="1"/>
  <c r="J44" i="4"/>
  <c r="B44" i="4"/>
  <c r="K43" i="4"/>
  <c r="L43" i="4" s="1"/>
  <c r="J43" i="4"/>
  <c r="B43" i="4"/>
  <c r="K42" i="4"/>
  <c r="L42" i="4" s="1"/>
  <c r="J42" i="4"/>
  <c r="B42" i="4"/>
  <c r="K41" i="4"/>
  <c r="L41" i="4" s="1"/>
  <c r="J41" i="4"/>
  <c r="B41" i="4"/>
  <c r="J40" i="4"/>
  <c r="B40" i="4"/>
  <c r="J39" i="4"/>
  <c r="B27" i="4"/>
  <c r="J26" i="4"/>
  <c r="B26" i="4"/>
  <c r="J25" i="4"/>
  <c r="B25" i="4"/>
  <c r="K24" i="4"/>
  <c r="L24" i="4" s="1"/>
  <c r="J24" i="4"/>
  <c r="B24" i="4"/>
  <c r="K23" i="4"/>
  <c r="L23" i="4" s="1"/>
  <c r="J23" i="4"/>
  <c r="B23" i="4"/>
  <c r="K22" i="4"/>
  <c r="L22" i="4" s="1"/>
  <c r="J22" i="4"/>
  <c r="C22" i="4"/>
  <c r="B22" i="4"/>
  <c r="K21" i="4"/>
  <c r="L21" i="4" s="1"/>
  <c r="J21" i="4"/>
  <c r="C21" i="4"/>
  <c r="B21" i="4"/>
  <c r="J20" i="4"/>
  <c r="B20" i="4"/>
  <c r="J19" i="4"/>
  <c r="B19" i="4"/>
  <c r="B18" i="4"/>
  <c r="B17" i="4"/>
  <c r="B16" i="4"/>
  <c r="E12" i="4"/>
  <c r="E11" i="4"/>
  <c r="E10" i="4"/>
  <c r="E9" i="4"/>
  <c r="E8" i="4"/>
  <c r="E7" i="4"/>
  <c r="F6" i="4"/>
  <c r="E6" i="4"/>
  <c r="F5" i="4"/>
  <c r="E5" i="4"/>
  <c r="F4" i="4"/>
  <c r="E4" i="4"/>
  <c r="BD84" i="2"/>
  <c r="BI84" i="2" s="1"/>
  <c r="K86" i="4" s="1"/>
  <c r="L86" i="4" s="1"/>
  <c r="BD83" i="2"/>
  <c r="BI83" i="2" s="1"/>
  <c r="K85" i="4" s="1"/>
  <c r="L85" i="4" s="1"/>
  <c r="BD82" i="2"/>
  <c r="BI82" i="2" s="1"/>
  <c r="K80" i="4" s="1"/>
  <c r="L80" i="4" s="1"/>
  <c r="BD81" i="2"/>
  <c r="BI81" i="2" s="1"/>
  <c r="K79" i="4" s="1"/>
  <c r="L79" i="4" s="1"/>
  <c r="BD41" i="2"/>
  <c r="BI41" i="2" s="1"/>
  <c r="K66" i="4" s="1"/>
  <c r="L66" i="4" s="1"/>
  <c r="BD40" i="2"/>
  <c r="BI40" i="2" s="1"/>
  <c r="K65" i="4" s="1"/>
  <c r="L65" i="4" s="1"/>
  <c r="BD39" i="2"/>
  <c r="BI39" i="2" s="1"/>
  <c r="K60" i="4" s="1"/>
  <c r="L60" i="4" s="1"/>
  <c r="BD38" i="2"/>
  <c r="BI38" i="2" s="1"/>
  <c r="K59" i="4" s="1"/>
  <c r="L59" i="4" s="1"/>
  <c r="BD104" i="1"/>
  <c r="BI104" i="1" s="1"/>
  <c r="K46" i="4" s="1"/>
  <c r="L46" i="4" s="1"/>
  <c r="BD103" i="1"/>
  <c r="BI103" i="1" s="1"/>
  <c r="K45" i="4" s="1"/>
  <c r="L45" i="4" s="1"/>
  <c r="BD102" i="1"/>
  <c r="BI102" i="1" s="1"/>
  <c r="K40" i="4" s="1"/>
  <c r="L40" i="4" s="1"/>
  <c r="BD101" i="1"/>
  <c r="BI101" i="1" s="1"/>
  <c r="K39" i="4" s="1"/>
  <c r="L39" i="4" s="1"/>
  <c r="BD61" i="1"/>
  <c r="BI61" i="1" s="1"/>
  <c r="K26" i="4" s="1"/>
  <c r="L26" i="4" s="1"/>
  <c r="BD60" i="1"/>
  <c r="BI60" i="1" s="1"/>
  <c r="K25" i="4" s="1"/>
  <c r="L25" i="4" s="1"/>
  <c r="BD59" i="1"/>
  <c r="BI59" i="1" s="1"/>
  <c r="K20" i="4" s="1"/>
  <c r="L20" i="4" s="1"/>
  <c r="BD58" i="1"/>
  <c r="BI58" i="1" s="1"/>
  <c r="K19" i="4" s="1"/>
  <c r="L19" i="4" s="1"/>
  <c r="BK90" i="2" l="1"/>
  <c r="C9" i="1"/>
  <c r="BP5" i="2"/>
  <c r="Y8" i="1" l="1"/>
  <c r="F8" i="1"/>
  <c r="AY64" i="2"/>
  <c r="AT18" i="2"/>
  <c r="I21" i="2"/>
  <c r="A21" i="2" s="1"/>
  <c r="AT21" i="2"/>
  <c r="AY62" i="2"/>
  <c r="I65" i="2"/>
  <c r="A65" i="2" s="1"/>
  <c r="AT13" i="2"/>
  <c r="AT54" i="2"/>
  <c r="AT65" i="2"/>
  <c r="AY59" i="2"/>
  <c r="I60" i="2"/>
  <c r="A60" i="2" s="1"/>
  <c r="AT62" i="2"/>
  <c r="E46" i="2"/>
  <c r="AF46" i="2"/>
  <c r="AY15" i="2"/>
  <c r="AY54" i="2"/>
  <c r="G5" i="2"/>
  <c r="AS5" i="2"/>
  <c r="I13" i="2"/>
  <c r="A13" i="2" s="1"/>
  <c r="I16" i="2"/>
  <c r="A16" i="2" s="1"/>
  <c r="I57" i="2"/>
  <c r="A57" i="2" s="1"/>
  <c r="I1" i="2"/>
  <c r="AY18" i="2"/>
  <c r="AT57" i="2"/>
  <c r="AY13" i="2"/>
  <c r="AT60" i="2"/>
  <c r="E4" i="2"/>
  <c r="AY60" i="2"/>
  <c r="AT22" i="2"/>
  <c r="AS4" i="2"/>
  <c r="I56" i="2"/>
  <c r="A56" i="2" s="1"/>
  <c r="I64" i="2"/>
  <c r="A64" i="2" s="1"/>
  <c r="I91" i="2"/>
  <c r="I11" i="2"/>
  <c r="A11" i="2" s="1"/>
  <c r="AT16" i="2"/>
  <c r="AY21" i="2"/>
  <c r="I55" i="2"/>
  <c r="A55" i="2" s="1"/>
  <c r="I63" i="2"/>
  <c r="A63" i="2" s="1"/>
  <c r="AT11" i="2"/>
  <c r="AY16" i="2"/>
  <c r="I22" i="2"/>
  <c r="A22" i="2" s="1"/>
  <c r="AT55" i="2"/>
  <c r="F68" i="2"/>
  <c r="AY11" i="2"/>
  <c r="I17" i="2"/>
  <c r="A17" i="2" s="1"/>
  <c r="BK46" i="2"/>
  <c r="AT58" i="2"/>
  <c r="A72" i="2"/>
  <c r="Y72" i="2" s="1"/>
  <c r="I12" i="2"/>
  <c r="A12" i="2" s="1"/>
  <c r="I20" i="2"/>
  <c r="A20" i="2" s="1"/>
  <c r="G48" i="2"/>
  <c r="I90" i="2" s="1"/>
  <c r="AT61" i="2"/>
  <c r="BA4" i="2"/>
  <c r="AT12" i="2"/>
  <c r="I15" i="2"/>
  <c r="A15" i="2" s="1"/>
  <c r="AY17" i="2"/>
  <c r="AT20" i="2"/>
  <c r="F25" i="2"/>
  <c r="AS48" i="2"/>
  <c r="AT56" i="2"/>
  <c r="I59" i="2"/>
  <c r="A59" i="2" s="1"/>
  <c r="AY61" i="2"/>
  <c r="AT64" i="2"/>
  <c r="I19" i="2"/>
  <c r="A19" i="2" s="1"/>
  <c r="AS46" i="2"/>
  <c r="AY57" i="2"/>
  <c r="AY65" i="2"/>
  <c r="I14" i="2"/>
  <c r="A14" i="2" s="1"/>
  <c r="AT19" i="2"/>
  <c r="BA46" i="2"/>
  <c r="I58" i="2"/>
  <c r="A58" i="2" s="1"/>
  <c r="AT63" i="2"/>
  <c r="AF4" i="2"/>
  <c r="AT14" i="2"/>
  <c r="AY19" i="2"/>
  <c r="AY55" i="2"/>
  <c r="I61" i="2"/>
  <c r="A61" i="2" s="1"/>
  <c r="AY63" i="2"/>
  <c r="AY14" i="2"/>
  <c r="AT17" i="2"/>
  <c r="AY22" i="2"/>
  <c r="AY58" i="2"/>
  <c r="BK4" i="2"/>
  <c r="AY12" i="2"/>
  <c r="AT15" i="2"/>
  <c r="I18" i="2"/>
  <c r="A18" i="2" s="1"/>
  <c r="AY20" i="2"/>
  <c r="A29" i="2"/>
  <c r="Y29" i="2" s="1"/>
  <c r="I54" i="2"/>
  <c r="A54" i="2" s="1"/>
  <c r="AY56" i="2"/>
  <c r="AT59" i="2"/>
  <c r="I62" i="2"/>
  <c r="A62" i="2" s="1"/>
  <c r="E66" i="1"/>
  <c r="BH9" i="1"/>
  <c r="AT74" i="1"/>
  <c r="P14" i="1"/>
  <c r="AY79" i="1"/>
  <c r="F88" i="1"/>
  <c r="I39" i="1"/>
  <c r="A39" i="1" s="1"/>
  <c r="AY34" i="1"/>
  <c r="K16" i="1"/>
  <c r="A16" i="1" s="1"/>
  <c r="BK23" i="1"/>
  <c r="AY29" i="1" s="1"/>
  <c r="I35" i="1"/>
  <c r="A35" i="1" s="1"/>
  <c r="AT83" i="1"/>
  <c r="AF66" i="1"/>
  <c r="AT36" i="1"/>
  <c r="I74" i="1"/>
  <c r="A74" i="1" s="1"/>
  <c r="I82" i="1"/>
  <c r="A82" i="1" s="1"/>
  <c r="AF23" i="1"/>
  <c r="AS68" i="1"/>
  <c r="AT41" i="1"/>
  <c r="AY33" i="1"/>
  <c r="AT75" i="1"/>
  <c r="AT82" i="1"/>
  <c r="AA9" i="1"/>
  <c r="AY32" i="1"/>
  <c r="AT38" i="1"/>
  <c r="I36" i="1"/>
  <c r="A36" i="1" s="1"/>
  <c r="BK66" i="1"/>
  <c r="AT72" i="1" s="1"/>
  <c r="AT81" i="1"/>
  <c r="AT84" i="1"/>
  <c r="AS23" i="1"/>
  <c r="AT39" i="1"/>
  <c r="I34" i="1"/>
  <c r="A34" i="1" s="1"/>
  <c r="AN9" i="1"/>
  <c r="AY40" i="1"/>
  <c r="BA66" i="1"/>
  <c r="AY76" i="1"/>
  <c r="AY81" i="1"/>
  <c r="AT79" i="1"/>
  <c r="I41" i="1"/>
  <c r="A41" i="1" s="1"/>
  <c r="AZ8" i="1"/>
  <c r="AY36" i="1"/>
  <c r="AH13" i="1"/>
  <c r="S13" i="1" s="1"/>
  <c r="AT37" i="1"/>
  <c r="I31" i="1"/>
  <c r="A31" i="1" s="1"/>
  <c r="AT42" i="1"/>
  <c r="I85" i="1"/>
  <c r="A85" i="1" s="1"/>
  <c r="AY84" i="1"/>
  <c r="AY74" i="1"/>
  <c r="I81" i="1"/>
  <c r="A81" i="1" s="1"/>
  <c r="I84" i="1"/>
  <c r="A84" i="1" s="1"/>
  <c r="Z14" i="1"/>
  <c r="AY77" i="1"/>
  <c r="AT35" i="1"/>
  <c r="AS25" i="1"/>
  <c r="I42" i="1"/>
  <c r="A42" i="1" s="1"/>
  <c r="AY38" i="1"/>
  <c r="AN17" i="1"/>
  <c r="S16" i="1" s="1"/>
  <c r="AY82" i="1"/>
  <c r="I80" i="1"/>
  <c r="A80" i="1" s="1"/>
  <c r="AT85" i="1"/>
  <c r="I77" i="1"/>
  <c r="A77" i="1" s="1"/>
  <c r="AW14" i="1"/>
  <c r="N13" i="1"/>
  <c r="A13" i="1" s="1"/>
  <c r="AT34" i="1"/>
  <c r="P17" i="1"/>
  <c r="I32" i="1"/>
  <c r="A32" i="1" s="1"/>
  <c r="AT77" i="1"/>
  <c r="AT80" i="1"/>
  <c r="I76" i="1"/>
  <c r="A76" i="1" s="1"/>
  <c r="AT76" i="1"/>
  <c r="G25" i="1"/>
  <c r="I40" i="1"/>
  <c r="A40" i="1" s="1"/>
  <c r="E23" i="1"/>
  <c r="AY42" i="1"/>
  <c r="G68" i="1"/>
  <c r="AY83" i="1"/>
  <c r="I75" i="1"/>
  <c r="A75" i="1" s="1"/>
  <c r="AY75" i="1"/>
  <c r="AT33" i="1"/>
  <c r="AT32" i="1"/>
  <c r="AY41" i="1"/>
  <c r="AT31" i="1"/>
  <c r="AY31" i="1"/>
  <c r="I33" i="1"/>
  <c r="A33" i="1" s="1"/>
  <c r="AY37" i="1"/>
  <c r="E45" i="1"/>
  <c r="I79" i="1"/>
  <c r="A79" i="1" s="1"/>
  <c r="AY80" i="1"/>
  <c r="AY85" i="1"/>
  <c r="AY78" i="1"/>
  <c r="I83" i="1"/>
  <c r="A83" i="1" s="1"/>
  <c r="I38" i="1"/>
  <c r="A38" i="1" s="1"/>
  <c r="I37" i="1"/>
  <c r="A37" i="1" s="1"/>
  <c r="AC16" i="1"/>
  <c r="BA23" i="1"/>
  <c r="AY35" i="1"/>
  <c r="AT40" i="1"/>
  <c r="AY39" i="1"/>
  <c r="AS66" i="1"/>
  <c r="AT78" i="1"/>
  <c r="I78" i="1"/>
  <c r="A78" i="1" s="1"/>
  <c r="BD32" i="1" l="1"/>
  <c r="BI32" i="1" s="1"/>
  <c r="K8" i="4" s="1"/>
  <c r="L8" i="4" s="1"/>
  <c r="B78" i="4"/>
  <c r="J69" i="4"/>
  <c r="B57" i="4"/>
  <c r="J52" i="4"/>
  <c r="B59" i="4"/>
  <c r="J54" i="4"/>
  <c r="B77" i="4"/>
  <c r="J68" i="4"/>
  <c r="B82" i="4"/>
  <c r="J73" i="4"/>
  <c r="B61" i="4"/>
  <c r="J56" i="4"/>
  <c r="B87" i="4"/>
  <c r="J78" i="4"/>
  <c r="B62" i="4"/>
  <c r="J57" i="4"/>
  <c r="B53" i="4"/>
  <c r="J48" i="4"/>
  <c r="B54" i="4"/>
  <c r="J49" i="4"/>
  <c r="B84" i="4"/>
  <c r="J75" i="4"/>
  <c r="B56" i="4"/>
  <c r="J51" i="4"/>
  <c r="B83" i="4"/>
  <c r="J74" i="4"/>
  <c r="B63" i="4"/>
  <c r="J58" i="4"/>
  <c r="AY52" i="2"/>
  <c r="AT52" i="2"/>
  <c r="B86" i="4"/>
  <c r="J77" i="4"/>
  <c r="B79" i="4"/>
  <c r="J70" i="4"/>
  <c r="B85" i="4"/>
  <c r="J76" i="4"/>
  <c r="B76" i="4"/>
  <c r="J67" i="4"/>
  <c r="B55" i="4"/>
  <c r="J50" i="4"/>
  <c r="B80" i="4"/>
  <c r="J71" i="4"/>
  <c r="B52" i="4"/>
  <c r="J47" i="4"/>
  <c r="B60" i="4"/>
  <c r="J55" i="4"/>
  <c r="B81" i="4"/>
  <c r="J72" i="4"/>
  <c r="B58" i="4"/>
  <c r="J53" i="4"/>
  <c r="B30" i="4"/>
  <c r="B28" i="4"/>
  <c r="B34" i="4"/>
  <c r="B5" i="4"/>
  <c r="B38" i="4"/>
  <c r="B35" i="4"/>
  <c r="B9" i="4"/>
  <c r="B8" i="4"/>
  <c r="J28" i="4"/>
  <c r="B29" i="4"/>
  <c r="B12" i="4"/>
  <c r="J32" i="4"/>
  <c r="B33" i="4"/>
  <c r="B13" i="4"/>
  <c r="B7" i="4"/>
  <c r="B32" i="4"/>
  <c r="B10" i="4"/>
  <c r="B15" i="4"/>
  <c r="J17" i="4"/>
  <c r="B14" i="4"/>
  <c r="B6" i="4"/>
  <c r="B31" i="4"/>
  <c r="B37" i="4"/>
  <c r="B11" i="4"/>
  <c r="B39" i="4"/>
  <c r="B36" i="4"/>
  <c r="AT9" i="2"/>
  <c r="AY9" i="2"/>
  <c r="B4" i="4"/>
  <c r="BD34" i="1"/>
  <c r="BI34" i="1" s="1"/>
  <c r="K10" i="4" s="1"/>
  <c r="L10" i="4" s="1"/>
  <c r="BD12" i="2"/>
  <c r="BI12" i="2" s="1"/>
  <c r="K48" i="4" s="1"/>
  <c r="L48" i="4" s="1"/>
  <c r="BD17" i="2"/>
  <c r="BI17" i="2" s="1"/>
  <c r="K53" i="4" s="1"/>
  <c r="L53" i="4" s="1"/>
  <c r="BD55" i="2"/>
  <c r="BI55" i="2" s="1"/>
  <c r="K68" i="4" s="1"/>
  <c r="L68" i="4" s="1"/>
  <c r="BD65" i="2"/>
  <c r="BI65" i="2" s="1"/>
  <c r="K78" i="4" s="1"/>
  <c r="L78" i="4" s="1"/>
  <c r="BD79" i="1"/>
  <c r="BI79" i="1" s="1"/>
  <c r="K32" i="4" s="1"/>
  <c r="L32" i="4" s="1"/>
  <c r="BD63" i="2"/>
  <c r="BI63" i="2" s="1"/>
  <c r="K76" i="4" s="1"/>
  <c r="L76" i="4" s="1"/>
  <c r="BD33" i="1"/>
  <c r="BI33" i="1" s="1"/>
  <c r="K9" i="4" s="1"/>
  <c r="L9" i="4" s="1"/>
  <c r="BD75" i="1"/>
  <c r="BI75" i="1" s="1"/>
  <c r="BD19" i="2"/>
  <c r="BI19" i="2" s="1"/>
  <c r="K55" i="4" s="1"/>
  <c r="L55" i="4" s="1"/>
  <c r="BD59" i="2"/>
  <c r="BI59" i="2" s="1"/>
  <c r="K72" i="4" s="1"/>
  <c r="L72" i="4" s="1"/>
  <c r="BD40" i="1"/>
  <c r="BI40" i="1" s="1"/>
  <c r="K16" i="4" s="1"/>
  <c r="L16" i="4" s="1"/>
  <c r="J33" i="4"/>
  <c r="J15" i="4"/>
  <c r="BD60" i="2"/>
  <c r="BI60" i="2" s="1"/>
  <c r="K73" i="4" s="1"/>
  <c r="L73" i="4" s="1"/>
  <c r="BD83" i="1"/>
  <c r="BI83" i="1" s="1"/>
  <c r="K36" i="4" s="1"/>
  <c r="L36" i="4" s="1"/>
  <c r="BD13" i="2"/>
  <c r="BI13" i="2" s="1"/>
  <c r="K49" i="4" s="1"/>
  <c r="L49" i="4" s="1"/>
  <c r="BD77" i="1"/>
  <c r="BI77" i="1" s="1"/>
  <c r="K30" i="4" s="1"/>
  <c r="L30" i="4" s="1"/>
  <c r="BD61" i="2"/>
  <c r="BI61" i="2" s="1"/>
  <c r="K74" i="4" s="1"/>
  <c r="L74" i="4" s="1"/>
  <c r="BD81" i="1"/>
  <c r="BI81" i="1" s="1"/>
  <c r="K34" i="4" s="1"/>
  <c r="L34" i="4" s="1"/>
  <c r="J7" i="4"/>
  <c r="J35" i="4"/>
  <c r="BD57" i="2"/>
  <c r="BI57" i="2" s="1"/>
  <c r="K70" i="4" s="1"/>
  <c r="L70" i="4" s="1"/>
  <c r="BD22" i="2"/>
  <c r="BI22" i="2" s="1"/>
  <c r="K58" i="4" s="1"/>
  <c r="L58" i="4" s="1"/>
  <c r="BD64" i="2"/>
  <c r="BI64" i="2" s="1"/>
  <c r="K77" i="4" s="1"/>
  <c r="L77" i="4" s="1"/>
  <c r="BD82" i="1"/>
  <c r="BI82" i="1" s="1"/>
  <c r="K35" i="4" s="1"/>
  <c r="L35" i="4" s="1"/>
  <c r="BD36" i="1"/>
  <c r="BI36" i="1" s="1"/>
  <c r="K12" i="4" s="1"/>
  <c r="L12" i="4" s="1"/>
  <c r="BD11" i="2"/>
  <c r="BI11" i="2" s="1"/>
  <c r="K47" i="4" s="1"/>
  <c r="L47" i="4" s="1"/>
  <c r="J12" i="4"/>
  <c r="BD18" i="2"/>
  <c r="BI18" i="2" s="1"/>
  <c r="K54" i="4" s="1"/>
  <c r="L54" i="4" s="1"/>
  <c r="J10" i="4"/>
  <c r="BD56" i="2"/>
  <c r="BI56" i="2" s="1"/>
  <c r="K69" i="4" s="1"/>
  <c r="L69" i="4" s="1"/>
  <c r="J34" i="4"/>
  <c r="BD16" i="2"/>
  <c r="BI16" i="2" s="1"/>
  <c r="K52" i="4" s="1"/>
  <c r="L52" i="4" s="1"/>
  <c r="BD76" i="1"/>
  <c r="BI76" i="1" s="1"/>
  <c r="K29" i="4" s="1"/>
  <c r="L29" i="4" s="1"/>
  <c r="BD35" i="1"/>
  <c r="BI35" i="1" s="1"/>
  <c r="K11" i="4" s="1"/>
  <c r="L11" i="4" s="1"/>
  <c r="J8" i="4"/>
  <c r="AY72" i="1"/>
  <c r="BD38" i="1"/>
  <c r="BI38" i="1" s="1"/>
  <c r="K14" i="4" s="1"/>
  <c r="L14" i="4" s="1"/>
  <c r="J37" i="4"/>
  <c r="BD37" i="1"/>
  <c r="BI37" i="1" s="1"/>
  <c r="K13" i="4" s="1"/>
  <c r="L13" i="4" s="1"/>
  <c r="J11" i="4"/>
  <c r="AT29" i="1"/>
  <c r="BD20" i="2"/>
  <c r="BI20" i="2" s="1"/>
  <c r="K56" i="4" s="1"/>
  <c r="L56" i="4" s="1"/>
  <c r="BD14" i="2"/>
  <c r="BI14" i="2" s="1"/>
  <c r="K50" i="4" s="1"/>
  <c r="L50" i="4" s="1"/>
  <c r="BD31" i="1"/>
  <c r="BI31" i="1" s="1"/>
  <c r="K7" i="4" s="1"/>
  <c r="L7" i="4" s="1"/>
  <c r="BD80" i="1"/>
  <c r="BI80" i="1" s="1"/>
  <c r="K33" i="4" s="1"/>
  <c r="L33" i="4" s="1"/>
  <c r="BD21" i="2"/>
  <c r="BI21" i="2" s="1"/>
  <c r="K57" i="4" s="1"/>
  <c r="L57" i="4" s="1"/>
  <c r="BD15" i="2"/>
  <c r="BI15" i="2" s="1"/>
  <c r="K51" i="4" s="1"/>
  <c r="L51" i="4" s="1"/>
  <c r="BD41" i="1"/>
  <c r="BI41" i="1" s="1"/>
  <c r="K17" i="4" s="1"/>
  <c r="L17" i="4" s="1"/>
  <c r="J27" i="4"/>
  <c r="J38" i="4"/>
  <c r="J30" i="4"/>
  <c r="BD85" i="1"/>
  <c r="BI85" i="1" s="1"/>
  <c r="K38" i="4" s="1"/>
  <c r="L38" i="4" s="1"/>
  <c r="BD39" i="1"/>
  <c r="BI39" i="1" s="1"/>
  <c r="K15" i="4" s="1"/>
  <c r="L15" i="4" s="1"/>
  <c r="J29" i="4"/>
  <c r="BD42" i="1"/>
  <c r="BI42" i="1" s="1"/>
  <c r="K18" i="4" s="1"/>
  <c r="L18" i="4" s="1"/>
  <c r="BD62" i="2"/>
  <c r="BI62" i="2" s="1"/>
  <c r="K75" i="4" s="1"/>
  <c r="L75" i="4" s="1"/>
  <c r="BD84" i="1"/>
  <c r="BI84" i="1" s="1"/>
  <c r="K37" i="4" s="1"/>
  <c r="L37" i="4" s="1"/>
  <c r="BD58" i="2"/>
  <c r="BI58" i="2" s="1"/>
  <c r="K71" i="4" s="1"/>
  <c r="L71" i="4" s="1"/>
  <c r="J16" i="4"/>
  <c r="J31" i="4"/>
  <c r="BD74" i="1"/>
  <c r="BI74" i="1" s="1"/>
  <c r="K27" i="4" s="1"/>
  <c r="L27" i="4" s="1"/>
  <c r="J13" i="4"/>
  <c r="BD54" i="2"/>
  <c r="BI54" i="2" s="1"/>
  <c r="K67" i="4" s="1"/>
  <c r="L67" i="4" s="1"/>
  <c r="J18" i="4"/>
  <c r="BD78" i="1"/>
  <c r="BI78" i="1" s="1"/>
  <c r="K31" i="4" s="1"/>
  <c r="L31" i="4" s="1"/>
  <c r="J14" i="4"/>
  <c r="J9" i="4"/>
  <c r="J36" i="4"/>
  <c r="BD86" i="1" l="1"/>
  <c r="BI86" i="1" s="1"/>
  <c r="M7" i="4" a="1"/>
  <c r="M7" i="4" s="1"/>
  <c r="BD23" i="2"/>
  <c r="BI23" i="2" s="1"/>
  <c r="BD43" i="1"/>
  <c r="BI43" i="1" s="1"/>
  <c r="BD66" i="2"/>
  <c r="BI66" i="2" s="1"/>
  <c r="M13" i="4" a="1"/>
  <c r="M13" i="4" s="1"/>
  <c r="M11" i="4" a="1"/>
  <c r="M11" i="4" s="1"/>
  <c r="K28" i="4"/>
  <c r="M9" i="4" a="1"/>
  <c r="M9" i="4" s="1"/>
  <c r="L28" i="4" l="1"/>
  <c r="M14" i="4" a="1"/>
  <c r="M14" i="4" s="1"/>
  <c r="M12" i="4" a="1"/>
  <c r="M12" i="4" s="1"/>
  <c r="M10" i="4" a="1"/>
  <c r="M10" i="4" s="1"/>
  <c r="M8" i="4" a="1"/>
  <c r="M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5F6B5-5B5B-431F-BD16-C3F60DF80093}" keepAlive="1" name="Query - 1ST" description="Connection to the '1ST' query in the workbook." type="5" refreshedVersion="6" background="1">
    <dbPr connection="Provider=Microsoft.Mashup.OleDb.1;Data Source=$Workbook$;Location=1ST;Extended Properties=&quot;&quot;" command="SELECT * FROM [1ST]"/>
  </connection>
  <connection id="2" xr16:uid="{BDC73F00-1021-4CD3-8FEA-B9C874F2CFD5}" keepAlive="1" name="Query - Final Semestral Grade" description="Connection to the 'Final Semestral Grade' query in the workbook." type="5" refreshedVersion="6" background="1">
    <dbPr connection="Provider=Microsoft.Mashup.OleDb.1;Data Source=$Workbook$;Location=Final Semestral Grade;Extended Properties=&quot;&quot;" command="SELECT * FROM [Final Semestral Grade]"/>
  </connection>
  <connection id="3" xr16:uid="{A6627959-BBC4-4C3C-AAAE-4F2C1F54E64F}"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4" xr16:uid="{CB252AD9-4CD7-400F-9E27-FF3F31273503}"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 id="5" xr16:uid="{86B11467-2757-4399-8A15-EDFC13716A50}" keepAlive="1" name="Query - Sheet1 (3)" description="Connection to the 'Sheet1 (3)' query in the workbook." type="5" refreshedVersion="6" background="1" saveData="1">
    <dbPr connection="Provider=Microsoft.Mashup.OleDb.1;Data Source=$Workbook$;Location=Sheet1 (3);Extended Properties=&quot;&quot;" command="SELECT * FROM [Sheet1 (3)]"/>
  </connection>
  <connection id="6" xr16:uid="{BF62F3B8-6B97-49DC-A94D-8959F365C96E}" keepAlive="1" name="Query - Sheet1 (4)" description="Connection to the 'Sheet1 (4)' query in the workbook." type="5" refreshedVersion="6" background="1" saveData="1">
    <dbPr connection="Provider=Microsoft.Mashup.OleDb.1;Data Source=$Workbook$;Location=Sheet1 (4);Extended Properties=&quot;&quot;" command="SELECT * FROM [Sheet1 (4)]"/>
  </connection>
  <connection id="7" xr16:uid="{80B92B89-BD40-4C1E-884A-A49821BDDA53}" keepAlive="1" name="Query - Sheet1 (5)" description="Connection to the 'Sheet1 (5)' query in the workbook." type="5" refreshedVersion="6" background="1" saveData="1">
    <dbPr connection="Provider=Microsoft.Mashup.OleDb.1;Data Source=$Workbook$;Location=Sheet1 (5);Extended Properties=&quot;&quot;" command="SELECT * FROM [Sheet1 (5)]"/>
  </connection>
  <connection id="8" xr16:uid="{51998B36-98EC-4161-B26F-2383E9382AC8}" keepAlive="1" name="Query - Sheet1 (6)" description="Connection to the 'Sheet1 (6)' query in the workbook." type="5" refreshedVersion="6" background="1" saveData="1">
    <dbPr connection="Provider=Microsoft.Mashup.OleDb.1;Data Source=$Workbook$;Location=Sheet1 (6);Extended Properties=&quot;&quot;" command="SELECT * FROM [Sheet1 (6)]"/>
  </connection>
</connections>
</file>

<file path=xl/sharedStrings.xml><?xml version="1.0" encoding="utf-8"?>
<sst xmlns="http://schemas.openxmlformats.org/spreadsheetml/2006/main" count="208" uniqueCount="102">
  <si>
    <t>DEPARTMENT OF EDUCATION</t>
  </si>
  <si>
    <t>Sex:</t>
  </si>
  <si>
    <t>Contemporary Philippine Arts from the Regions</t>
  </si>
  <si>
    <t>SUBJECTS</t>
  </si>
  <si>
    <t>Quarter</t>
  </si>
  <si>
    <t>REPUBLIC OF THE PHILIPPINES</t>
  </si>
  <si>
    <t>SF10-SHS</t>
  </si>
  <si>
    <t>SENIOR HIGH SCHOOL STUDENT PERMANENT RECORD</t>
  </si>
  <si>
    <t>LEARNER'S INFORMATION</t>
  </si>
  <si>
    <t>LAST NAME:</t>
  </si>
  <si>
    <t>FIRST NAME:</t>
  </si>
  <si>
    <t>MIDDLE NAME:</t>
  </si>
  <si>
    <t>LRN:</t>
  </si>
  <si>
    <t>Date of Birth (MM/DD/YYYY):</t>
  </si>
  <si>
    <t>Date of SHS Admission (MM/DD/YYYY):</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</si>
  <si>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</si>
  <si>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</si>
  <si>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</si>
  <si>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</si>
  <si>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</si>
  <si>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</si>
  <si>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</si>
  <si>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</si>
  <si>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</si>
  <si>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</si>
  <si>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</si>
  <si>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</si>
  <si>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</si>
  <si>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</si>
  <si>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</si>
  <si>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</si>
  <si>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</si>
  <si>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</si>
  <si>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</si>
  <si>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</si>
  <si>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SY:</t>
  </si>
  <si>
    <t>SEM:</t>
  </si>
  <si>
    <t>TRACK/STRAND:</t>
  </si>
  <si>
    <t>SECTION:</t>
  </si>
  <si>
    <t>Indicate if Subject is CORE, APPLIED, or SPECIALIZED</t>
  </si>
  <si>
    <t>SEM FINAL GRADE</t>
  </si>
  <si>
    <t>ACTION TAKEN</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</si>
  <si>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</si>
  <si>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</si>
  <si>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</si>
  <si>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</si>
  <si>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</si>
  <si>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</si>
  <si>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</si>
  <si>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</si>
  <si>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</si>
  <si>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</si>
  <si>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</si>
  <si>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</si>
  <si>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</si>
  <si>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</si>
  <si>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ngoyab</t>
  </si>
  <si>
    <t>Page 2</t>
  </si>
  <si>
    <t>Track/Strand Accomplished:</t>
  </si>
  <si>
    <t>SHS General Average:</t>
  </si>
  <si>
    <t>Awards/Honors Received:</t>
  </si>
  <si>
    <t>Date of SHS Graduation (MM/DD/YYYY):</t>
  </si>
  <si>
    <t>Certified by:</t>
  </si>
  <si>
    <t>Place School Seal Here: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</si>
  <si>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</si>
  <si>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</si>
  <si>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</si>
  <si>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</si>
  <si>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</si>
  <si>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</si>
  <si>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Oral Communication</t>
  </si>
  <si>
    <t>Reading and Writing</t>
  </si>
  <si>
    <t>Komunikasyon at Pananaliksik sa Wika at Kulturang Pilipino</t>
  </si>
  <si>
    <t>Pagbasa at Pagsusuri ng Iba't Ibang Teksto Tungo sa Pananaliksik</t>
  </si>
  <si>
    <t>21st Century Literature from the Philippines and the World</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</si>
  <si>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</si>
  <si>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</si>
  <si>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</si>
  <si>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</si>
  <si>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</si>
  <si>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</si>
  <si>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</si>
  <si>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</si>
  <si>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Earth Science</t>
  </si>
  <si>
    <t>Disaster Readiness and Risk Reduction</t>
  </si>
  <si>
    <t>English for Academic and Professional Purposes</t>
  </si>
  <si>
    <t>Practical Research 1</t>
  </si>
  <si>
    <t>Practical Research 2</t>
  </si>
  <si>
    <t>Filipino sa Piling Larang</t>
  </si>
  <si>
    <t>Empowerment Technologies</t>
  </si>
  <si>
    <t>Entrepreneurship</t>
  </si>
  <si>
    <t>Inquiries, Investigations and Immersion</t>
  </si>
  <si>
    <t>Physical Education and Health</t>
  </si>
  <si>
    <t>Core</t>
  </si>
  <si>
    <t>Specialized</t>
  </si>
  <si>
    <t>Applied</t>
  </si>
  <si>
    <t>Helper Columns</t>
  </si>
  <si>
    <t>yongbarba@gmail.com</t>
  </si>
  <si>
    <t>Subjects</t>
  </si>
  <si>
    <t>Other Subjects</t>
  </si>
  <si>
    <t>PASSED</t>
  </si>
  <si>
    <t>HEIDEE R. PAGULAYAN, Registrar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</si>
</sst>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sz val="8"/>
      <name val="Calibri"/>
      <family val="2"/>
      <scheme val="minor"/>
    </font>
    <font>
      <sz val="16"/>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sz val="11"/>
      <color theme="1"/>
      <name val="Arial Narrow"/>
      <family val="2"/>
    </font>
    <font>
      <sz val="12"/>
      <color theme="0" tint="-0.34998626667073579"/>
      <name val="Arial Narrow"/>
      <family val="2"/>
    </font>
    <font>
      <sz val="12"/>
      <name val="Arial Narrow"/>
      <family val="2"/>
    </font>
    <font>
      <sz val="11"/>
      <color rgb="FF000000"/>
      <name val="Calibri"/>
      <family val="2"/>
    </font>
    <font>
      <sz val="10"/>
      <color rgb="FF000000"/>
      <name val="Arial"/>
      <family val="2"/>
    </font>
    <font>
      <sz val="11"/>
      <color theme="0" tint="-0.34998626667073579"/>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17" fillId="0" borderId="0" applyNumberFormat="0" applyBorder="0" applyProtection="0"/>
    <xf numFmtId="0" fontId="17" fillId="0" borderId="0" applyNumberFormat="0" applyBorder="0" applyProtection="0"/>
    <xf numFmtId="0" fontId="18" fillId="0" borderId="0"/>
  </cellStyleXfs>
  <cellXfs count="185">
    <xf numFmtId="0" fontId="0" fillId="0" borderId="0" xfId="0"/>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3" fillId="0" borderId="0" xfId="0" applyFont="1" applyProtection="1">
      <protection hidden="1"/>
    </xf>
    <xf numFmtId="0" fontId="0" fillId="0" borderId="0" xfId="0" applyProtection="1">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9"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1"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2" fillId="0" borderId="0" xfId="0" applyFont="1" applyProtection="1">
      <protection hidden="1"/>
    </xf>
    <xf numFmtId="0" fontId="2" fillId="0" borderId="1" xfId="0" applyFont="1" applyBorder="1" applyAlignment="1" applyProtection="1">
      <alignment horizontal="center" vertical="center"/>
      <protection hidden="1"/>
    </xf>
    <xf numFmtId="0" fontId="15" fillId="0" borderId="0" xfId="0" applyFont="1" applyProtection="1">
      <protection hidden="1"/>
    </xf>
    <xf numFmtId="0" fontId="14" fillId="5" borderId="0" xfId="0" applyFont="1" applyFill="1" applyProtection="1">
      <protection hidden="1"/>
    </xf>
    <xf numFmtId="1" fontId="19" fillId="0" borderId="0" xfId="0" applyNumberFormat="1" applyFont="1" applyProtection="1">
      <protection hidden="1"/>
    </xf>
    <xf numFmtId="0" fontId="14" fillId="3" borderId="0" xfId="0" applyFont="1" applyFill="1" applyProtection="1">
      <protection hidden="1"/>
    </xf>
    <xf numFmtId="0" fontId="2" fillId="0" borderId="0" xfId="0" applyFont="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1" fillId="0" borderId="0" xfId="0" applyFont="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 fillId="0" borderId="18" xfId="0" applyFont="1" applyBorder="1" applyAlignment="1" applyProtection="1">
      <alignment horizontal="center"/>
      <protection hidden="1"/>
    </xf>
    <xf numFmtId="0" fontId="2" fillId="0" borderId="16" xfId="0" applyFont="1" applyBorder="1" applyAlignment="1" applyProtection="1">
      <alignment horizontal="center"/>
      <protection hidden="1"/>
    </xf>
    <xf numFmtId="0" fontId="16" fillId="0" borderId="1" xfId="0" applyFont="1" applyBorder="1" applyAlignment="1" applyProtection="1">
      <alignment horizontal="center" vertical="center"/>
      <protection hidden="1"/>
    </xf>
    <xf numFmtId="0" fontId="16" fillId="0" borderId="2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1" fillId="4" borderId="2" xfId="0" applyFont="1" applyFill="1" applyBorder="1" applyAlignment="1" applyProtection="1">
      <alignment horizontal="left" vertical="center"/>
      <protection locked="0"/>
    </xf>
    <xf numFmtId="0" fontId="1" fillId="4" borderId="3" xfId="0" applyFont="1" applyFill="1" applyBorder="1" applyAlignment="1" applyProtection="1">
      <alignment horizontal="left" vertical="center"/>
      <protection locked="0"/>
    </xf>
    <xf numFmtId="0" fontId="1" fillId="4" borderId="4" xfId="0" applyFont="1" applyFill="1" applyBorder="1" applyAlignment="1" applyProtection="1">
      <alignment horizontal="left"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6" fillId="0" borderId="26"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 fillId="0" borderId="0" xfId="0" applyFont="1" applyAlignment="1" applyProtection="1">
      <alignment horizontal="right"/>
      <protection hidden="1"/>
    </xf>
    <xf numFmtId="2" fontId="2" fillId="0" borderId="12" xfId="0" applyNumberFormat="1" applyFont="1" applyBorder="1" applyAlignment="1" applyProtection="1">
      <alignment horizontal="left"/>
      <protection locked="0"/>
    </xf>
    <xf numFmtId="0" fontId="2" fillId="2" borderId="1" xfId="0" applyFont="1" applyFill="1" applyBorder="1" applyAlignment="1" applyProtection="1">
      <alignment horizontal="center" vertic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2" borderId="15" xfId="0" applyFont="1" applyFill="1" applyBorder="1" applyAlignment="1" applyProtection="1">
      <alignment horizontal="center" vertical="center"/>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1"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14" fontId="2" fillId="0" borderId="12" xfId="0" applyNumberFormat="1" applyFont="1" applyBorder="1" applyAlignment="1" applyProtection="1">
      <alignment horizontal="left"/>
      <protection locked="0"/>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12" xfId="0" applyFont="1" applyBorder="1" applyAlignment="1" applyProtection="1">
      <alignment horizontal="left"/>
      <protection locked="0"/>
    </xf>
    <xf numFmtId="0" fontId="9"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0" fontId="1" fillId="0" borderId="9" xfId="0" applyFont="1" applyBorder="1" applyAlignment="1" applyProtection="1">
      <alignment horizontal="left"/>
      <protection hidden="1"/>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16" fillId="0" borderId="7" xfId="0" applyFont="1" applyBorder="1" applyAlignment="1" applyProtection="1">
      <alignment horizont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12" xfId="0" applyFont="1" applyBorder="1" applyAlignment="1" applyProtection="1">
      <alignment horizontal="left" shrinkToFit="1"/>
      <protection locked="0"/>
    </xf>
    <xf numFmtId="0" fontId="16" fillId="0" borderId="2" xfId="0" applyFont="1" applyBorder="1" applyAlignment="1" applyProtection="1">
      <alignment horizontal="left" vertical="center"/>
      <protection locked="0"/>
    </xf>
    <xf numFmtId="0" fontId="16" fillId="0" borderId="3" xfId="0" applyFont="1" applyBorder="1" applyAlignment="1" applyProtection="1">
      <alignment horizontal="left" vertical="center"/>
      <protection locked="0"/>
    </xf>
    <xf numFmtId="0" fontId="16" fillId="0" borderId="4" xfId="0" applyFont="1" applyBorder="1" applyAlignment="1" applyProtection="1">
      <alignment horizontal="left" vertical="center"/>
      <protection locked="0"/>
    </xf>
    <xf numFmtId="0" fontId="1" fillId="0" borderId="1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hidden="1"/>
    </xf>
    <xf numFmtId="0" fontId="16" fillId="0" borderId="29"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3" fillId="0" borderId="2"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hidden="1"/>
    </xf>
    <xf numFmtId="0" fontId="13" fillId="0" borderId="27" xfId="0" applyFont="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2"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left"/>
      <protection hidden="1"/>
    </xf>
    <xf numFmtId="0" fontId="0" fillId="2" borderId="0" xfId="0" applyFill="1" applyAlignment="1" applyProtection="1">
      <alignment horizontal="center"/>
      <protection hidden="1"/>
    </xf>
    <xf numFmtId="164" fontId="2" fillId="0" borderId="12" xfId="0" quotePrefix="1" applyNumberFormat="1" applyFont="1" applyBorder="1" applyAlignment="1" applyProtection="1">
      <alignment horizontal="center"/>
      <protection locked="0"/>
    </xf>
    <xf numFmtId="0" fontId="13" fillId="0" borderId="1" xfId="0" applyFont="1" applyBorder="1" applyAlignment="1" applyProtection="1">
      <alignment horizontal="center" vertical="center"/>
      <protection hidden="1"/>
    </xf>
    <xf numFmtId="0" fontId="13" fillId="0" borderId="24" xfId="0" applyFont="1" applyBorder="1" applyAlignment="1" applyProtection="1">
      <alignment horizontal="center" vertical="center"/>
      <protection hidden="1"/>
    </xf>
    <xf numFmtId="0" fontId="10" fillId="0" borderId="0" xfId="0" applyFont="1" applyAlignment="1" applyProtection="1">
      <alignment horizontal="center" vertical="top"/>
      <protection hidden="1"/>
    </xf>
    <xf numFmtId="0" fontId="13" fillId="0" borderId="31" xfId="0" applyFont="1" applyBorder="1" applyAlignment="1" applyProtection="1">
      <alignment horizontal="center" vertical="center"/>
      <protection hidden="1"/>
    </xf>
    <xf numFmtId="0" fontId="13" fillId="0" borderId="29"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 fillId="0" borderId="0" xfId="0" applyFont="1" applyAlignment="1" applyProtection="1">
      <alignment horizontal="left" vertical="top" wrapText="1"/>
      <protection locked="0"/>
    </xf>
    <xf numFmtId="164" fontId="10" fillId="0" borderId="12" xfId="0" applyNumberFormat="1" applyFont="1" applyBorder="1" applyAlignment="1" applyProtection="1">
      <alignment horizontal="left"/>
      <protection locked="0"/>
    </xf>
    <xf numFmtId="0" fontId="2" fillId="0" borderId="3" xfId="0" applyFont="1" applyBorder="1" applyAlignment="1" applyProtection="1">
      <alignment horizontal="left"/>
      <protection locked="0"/>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3" fillId="0" borderId="0" xfId="759" applyAlignment="1" applyProtection="1">
      <alignment horizontal="center" wrapText="1"/>
      <protection hidden="1"/>
    </xf>
  </cellXfs>
  <cellStyles count="763">
    <cellStyle name="Followed Hyperlink" xfId="42" builtinId="9" hidden="1"/>
    <cellStyle name="Followed Hyperlink" xfId="436" builtinId="9" hidden="1"/>
    <cellStyle name="Followed Hyperlink" xfId="680" builtinId="9" hidden="1"/>
    <cellStyle name="Followed Hyperlink" xfId="278" builtinId="9" hidden="1"/>
    <cellStyle name="Followed Hyperlink" xfId="96" builtinId="9" hidden="1"/>
    <cellStyle name="Followed Hyperlink" xfId="242" builtinId="9" hidden="1"/>
    <cellStyle name="Followed Hyperlink" xfId="32" builtinId="9" hidden="1"/>
    <cellStyle name="Followed Hyperlink" xfId="316" builtinId="9" hidden="1"/>
    <cellStyle name="Followed Hyperlink" xfId="20" builtinId="9" hidden="1"/>
    <cellStyle name="Followed Hyperlink" xfId="336" builtinId="9" hidden="1"/>
    <cellStyle name="Followed Hyperlink" xfId="756" builtinId="9" hidden="1"/>
    <cellStyle name="Followed Hyperlink" xfId="354" builtinId="9" hidden="1"/>
    <cellStyle name="Followed Hyperlink" xfId="464" builtinId="9" hidden="1"/>
    <cellStyle name="Followed Hyperlink" xfId="322" builtinId="9" hidden="1"/>
    <cellStyle name="Followed Hyperlink" xfId="724" builtinId="9" hidden="1"/>
    <cellStyle name="Followed Hyperlink" xfId="416" builtinId="9" hidden="1"/>
    <cellStyle name="Followed Hyperlink" xfId="486" builtinId="9" hidden="1"/>
    <cellStyle name="Followed Hyperlink" xfId="504" builtinId="9" hidden="1"/>
    <cellStyle name="Followed Hyperlink" xfId="394" builtinId="9" hidden="1"/>
    <cellStyle name="Followed Hyperlink" xfId="46" builtinId="9" hidden="1"/>
    <cellStyle name="Followed Hyperlink" xfId="216" builtinId="9" hidden="1"/>
    <cellStyle name="Followed Hyperlink" xfId="742" builtinId="9" hidden="1"/>
    <cellStyle name="Followed Hyperlink" xfId="328" builtinId="9" hidden="1"/>
    <cellStyle name="Followed Hyperlink" xfId="468" builtinId="9" hidden="1"/>
    <cellStyle name="Followed Hyperlink" xfId="66" builtinId="9" hidden="1"/>
    <cellStyle name="Followed Hyperlink" xfId="544" builtinId="9" hidden="1"/>
    <cellStyle name="Followed Hyperlink" xfId="610" builtinId="9" hidden="1"/>
    <cellStyle name="Followed Hyperlink" xfId="506" builtinId="9" hidden="1"/>
    <cellStyle name="Followed Hyperlink" xfId="280" builtinId="9" hidden="1"/>
    <cellStyle name="Followed Hyperlink" xfId="170" builtinId="9" hidden="1"/>
    <cellStyle name="Followed Hyperlink" xfId="572" builtinId="9" hidden="1"/>
    <cellStyle name="Followed Hyperlink" xfId="398" builtinId="9" hidden="1"/>
    <cellStyle name="Followed Hyperlink" xfId="82" builtinId="9" hidden="1"/>
    <cellStyle name="Followed Hyperlink" xfId="148" builtinId="9" hidden="1"/>
    <cellStyle name="Followed Hyperlink" xfId="534" builtinId="9" hidden="1"/>
    <cellStyle name="Followed Hyperlink" xfId="582" builtinId="9" hidden="1"/>
    <cellStyle name="Followed Hyperlink" xfId="116" builtinId="9" hidden="1"/>
    <cellStyle name="Followed Hyperlink" xfId="94" builtinId="9" hidden="1"/>
    <cellStyle name="Followed Hyperlink" xfId="590" builtinId="9" hidden="1"/>
    <cellStyle name="Followed Hyperlink" xfId="620" builtinId="9" hidden="1"/>
    <cellStyle name="Followed Hyperlink" xfId="218" builtinId="9" hidden="1"/>
    <cellStyle name="Followed Hyperlink" xfId="256" builtinId="9" hidden="1"/>
    <cellStyle name="Followed Hyperlink" xfId="458" builtinId="9" hidden="1"/>
    <cellStyle name="Followed Hyperlink" xfId="548" builtinId="9" hidden="1"/>
    <cellStyle name="Followed Hyperlink" xfId="594" builtinId="9" hidden="1"/>
    <cellStyle name="Followed Hyperlink" xfId="128" builtinId="9" hidden="1"/>
    <cellStyle name="Followed Hyperlink" xfId="284" builtinId="9" hidden="1"/>
    <cellStyle name="Followed Hyperlink" xfId="696" builtinId="9" hidden="1"/>
    <cellStyle name="Followed Hyperlink" xfId="294" builtinId="9" hidden="1"/>
    <cellStyle name="Followed Hyperlink" xfId="104" builtinId="9" hidden="1"/>
    <cellStyle name="Followed Hyperlink" xfId="382" builtinId="9" hidden="1"/>
    <cellStyle name="Followed Hyperlink" xfId="736" builtinId="9" hidden="1"/>
    <cellStyle name="Followed Hyperlink" xfId="332" builtinId="9" hidden="1"/>
    <cellStyle name="Followed Hyperlink" xfId="4" builtinId="9" hidden="1"/>
    <cellStyle name="Followed Hyperlink" xfId="352" builtinId="9" hidden="1"/>
    <cellStyle name="Followed Hyperlink" xfId="746" builtinId="9" hidden="1"/>
    <cellStyle name="Followed Hyperlink" xfId="370" builtinId="9" hidden="1"/>
    <cellStyle name="Followed Hyperlink" xfId="526" builtinId="9" hidden="1"/>
    <cellStyle name="Followed Hyperlink" xfId="174" builtinId="9" hidden="1"/>
    <cellStyle name="Followed Hyperlink" xfId="708" builtinId="9" hidden="1"/>
    <cellStyle name="Followed Hyperlink" xfId="304" builtinId="9" hidden="1"/>
    <cellStyle name="Followed Hyperlink" xfId="60" builtinId="9" hidden="1"/>
    <cellStyle name="Followed Hyperlink" xfId="194" builtinId="9" hidden="1"/>
    <cellStyle name="Followed Hyperlink" xfId="622" builtinId="9" hidden="1"/>
    <cellStyle name="Followed Hyperlink" xfId="654" builtinId="9" hidden="1"/>
    <cellStyle name="Followed Hyperlink" xfId="482" builtinId="9" hidden="1"/>
    <cellStyle name="Followed Hyperlink" xfId="268" builtinId="9" hidden="1"/>
    <cellStyle name="Followed Hyperlink" xfId="446" builtinId="9" hidden="1"/>
    <cellStyle name="Followed Hyperlink" xfId="300" builtinId="9" hidden="1"/>
    <cellStyle name="Followed Hyperlink" xfId="666" builtinId="9" hidden="1"/>
    <cellStyle name="Followed Hyperlink" xfId="154" builtinId="9" hidden="1"/>
    <cellStyle name="Followed Hyperlink" xfId="156" builtinId="9" hidden="1"/>
    <cellStyle name="Followed Hyperlink" xfId="180" builtinId="9" hidden="1"/>
    <cellStyle name="Followed Hyperlink" xfId="496" builtinId="9" hidden="1"/>
    <cellStyle name="Followed Hyperlink" xfId="84" builtinId="9" hidden="1"/>
    <cellStyle name="Followed Hyperlink" xfId="12" builtinId="9" hidden="1"/>
    <cellStyle name="Followed Hyperlink" xfId="752" builtinId="9" hidden="1"/>
    <cellStyle name="Followed Hyperlink" xfId="720" builtinId="9" hidden="1"/>
    <cellStyle name="Followed Hyperlink" xfId="160" builtinId="9" hidden="1"/>
    <cellStyle name="Followed Hyperlink" xfId="518" builtinId="9" hidden="1"/>
    <cellStyle name="Followed Hyperlink" xfId="598" builtinId="9" hidden="1"/>
    <cellStyle name="Followed Hyperlink" xfId="196" builtinId="9" hidden="1"/>
    <cellStyle name="Followed Hyperlink" xfId="52" builtinId="9" hidden="1"/>
    <cellStyle name="Followed Hyperlink" xfId="366" builtinId="9" hidden="1"/>
    <cellStyle name="Followed Hyperlink" xfId="636" builtinId="9" hidden="1"/>
    <cellStyle name="Followed Hyperlink" xfId="234" builtinId="9" hidden="1"/>
    <cellStyle name="Followed Hyperlink" xfId="264" builtinId="9" hidden="1"/>
    <cellStyle name="Followed Hyperlink" xfId="442" builtinId="9" hidden="1"/>
    <cellStyle name="Followed Hyperlink" xfId="674" builtinId="9" hidden="1"/>
    <cellStyle name="Followed Hyperlink" xfId="624" builtinId="9" hidden="1"/>
    <cellStyle name="Followed Hyperlink" xfId="64" builtinId="9" hidden="1"/>
    <cellStyle name="Followed Hyperlink" xfId="404" builtinId="9" hidden="1"/>
    <cellStyle name="Followed Hyperlink" xfId="712" builtinId="9" hidden="1"/>
    <cellStyle name="Followed Hyperlink" xfId="310" builtinId="9" hidden="1"/>
    <cellStyle name="Followed Hyperlink" xfId="92" builtinId="9" hidden="1"/>
    <cellStyle name="Followed Hyperlink" xfId="658" builtinId="9" hidden="1"/>
    <cellStyle name="Followed Hyperlink" xfId="604" builtinId="9" hidden="1"/>
    <cellStyle name="Followed Hyperlink" xfId="228" builtinId="9" hidden="1"/>
    <cellStyle name="Followed Hyperlink" xfId="8" builtinId="9" hidden="1"/>
    <cellStyle name="Followed Hyperlink" xfId="360" builtinId="9" hidden="1"/>
    <cellStyle name="Followed Hyperlink" xfId="730" builtinId="9" hidden="1"/>
    <cellStyle name="Followed Hyperlink" xfId="386" builtinId="9" hidden="1"/>
    <cellStyle name="Followed Hyperlink" xfId="480" builtinId="9" hidden="1"/>
    <cellStyle name="Followed Hyperlink" xfId="290" builtinId="9" hidden="1"/>
    <cellStyle name="Followed Hyperlink" xfId="692" builtinId="9" hidden="1"/>
    <cellStyle name="Followed Hyperlink" xfId="296" builtinId="9" hidden="1"/>
    <cellStyle name="Followed Hyperlink" xfId="50" builtinId="9" hidden="1"/>
    <cellStyle name="Followed Hyperlink" xfId="252" builtinId="9" hidden="1"/>
    <cellStyle name="Followed Hyperlink" xfId="178" builtinId="9" hidden="1"/>
    <cellStyle name="Followed Hyperlink" xfId="274" builtinId="9" hidden="1"/>
    <cellStyle name="Followed Hyperlink" xfId="188" builtinId="9" hidden="1"/>
    <cellStyle name="Followed Hyperlink" xfId="214" builtinId="9" hidden="1"/>
    <cellStyle name="Followed Hyperlink" xfId="616" builtinId="9" hidden="1"/>
    <cellStyle name="Followed Hyperlink" xfId="500" builtinId="9" hidden="1"/>
    <cellStyle name="Followed Hyperlink" xfId="98" builtinId="9" hidden="1"/>
    <cellStyle name="Followed Hyperlink" xfId="576" builtinId="9" hidden="1"/>
    <cellStyle name="Followed Hyperlink" xfId="578" builtinId="9" hidden="1"/>
    <cellStyle name="Followed Hyperlink" xfId="538" builtinId="9" hidden="1"/>
    <cellStyle name="Followed Hyperlink" xfId="312" builtinId="9" hidden="1"/>
    <cellStyle name="Followed Hyperlink" xfId="358" builtinId="9" hidden="1"/>
    <cellStyle name="Followed Hyperlink" xfId="502" builtinId="9" hidden="1"/>
    <cellStyle name="Followed Hyperlink" xfId="266" builtinId="9" hidden="1"/>
    <cellStyle name="Followed Hyperlink" xfId="374" builtinId="9" hidden="1"/>
    <cellStyle name="Followed Hyperlink" xfId="320" builtinId="9" hidden="1"/>
    <cellStyle name="Followed Hyperlink" xfId="648" builtinId="9" hidden="1"/>
    <cellStyle name="Followed Hyperlink" xfId="632" builtinId="9" hidden="1"/>
    <cellStyle name="Followed Hyperlink" xfId="212" builtinId="9" hidden="1"/>
    <cellStyle name="Followed Hyperlink" xfId="24" builtinId="9" hidden="1"/>
    <cellStyle name="Followed Hyperlink" xfId="558" builtinId="9" hidden="1"/>
    <cellStyle name="Followed Hyperlink" xfId="652" builtinId="9" hidden="1"/>
    <cellStyle name="Followed Hyperlink" xfId="250" builtinId="9" hidden="1"/>
    <cellStyle name="Followed Hyperlink" xfId="272" builtinId="9" hidden="1"/>
    <cellStyle name="Followed Hyperlink" xfId="426" builtinId="9" hidden="1"/>
    <cellStyle name="Followed Hyperlink" xfId="690" builtinId="9" hidden="1"/>
    <cellStyle name="Followed Hyperlink" xfId="238" builtinId="9" hidden="1"/>
    <cellStyle name="Followed Hyperlink" xfId="30" builtinId="9" hidden="1"/>
    <cellStyle name="Followed Hyperlink" xfId="388" builtinId="9" hidden="1"/>
    <cellStyle name="Followed Hyperlink" xfId="728" builtinId="9" hidden="1"/>
    <cellStyle name="Followed Hyperlink" xfId="326" builtinId="9" hidden="1"/>
    <cellStyle name="Followed Hyperlink" xfId="72" builtinId="9" hidden="1"/>
    <cellStyle name="Followed Hyperlink" xfId="350" builtinId="9" hidden="1"/>
    <cellStyle name="Followed Hyperlink" xfId="750" builtinId="9" hidden="1"/>
    <cellStyle name="Followed Hyperlink" xfId="364" builtinId="9" hidden="1"/>
    <cellStyle name="Followed Hyperlink" xfId="18" builtinId="9" hidden="1"/>
    <cellStyle name="Followed Hyperlink" xfId="368" builtinId="9" hidden="1"/>
    <cellStyle name="Followed Hyperlink" xfId="714" builtinId="9" hidden="1"/>
    <cellStyle name="Followed Hyperlink" xfId="740" builtinId="9" hidden="1"/>
    <cellStyle name="Followed Hyperlink" xfId="402" builtinId="9" hidden="1"/>
    <cellStyle name="Followed Hyperlink" xfId="676" builtinId="9" hidden="1"/>
    <cellStyle name="Followed Hyperlink" xfId="412" builtinId="9" hidden="1"/>
    <cellStyle name="Followed Hyperlink" xfId="288" builtinId="9" hidden="1"/>
    <cellStyle name="Followed Hyperlink" xfId="40" builtinId="9" hidden="1"/>
    <cellStyle name="Followed Hyperlink" xfId="236" builtinId="9" hidden="1"/>
    <cellStyle name="Followed Hyperlink" xfId="672" builtinId="9" hidden="1"/>
    <cellStyle name="Followed Hyperlink" xfId="478" builtinId="9" hidden="1"/>
    <cellStyle name="Followed Hyperlink" xfId="184" builtinId="9" hidden="1"/>
    <cellStyle name="Followed Hyperlink" xfId="198" builtinId="9" hidden="1"/>
    <cellStyle name="Followed Hyperlink" xfId="452" builtinId="9" hidden="1"/>
    <cellStyle name="Followed Hyperlink" xfId="444" builtinId="9" hidden="1"/>
    <cellStyle name="Followed Hyperlink" xfId="210" builtinId="9" hidden="1"/>
    <cellStyle name="Followed Hyperlink" xfId="334" builtinId="9" hidden="1"/>
    <cellStyle name="Followed Hyperlink" xfId="146" builtinId="9" hidden="1"/>
    <cellStyle name="Followed Hyperlink" xfId="380" builtinId="9" hidden="1"/>
    <cellStyle name="Followed Hyperlink" xfId="490" builtinId="9" hidden="1"/>
    <cellStyle name="Followed Hyperlink" xfId="406" builtinId="9" hidden="1"/>
    <cellStyle name="Followed Hyperlink" xfId="600" builtinId="9" hidden="1"/>
    <cellStyle name="Followed Hyperlink" xfId="34" builtinId="9" hidden="1"/>
    <cellStyle name="Followed Hyperlink" xfId="562" builtinId="9" hidden="1"/>
    <cellStyle name="Followed Hyperlink" xfId="744" builtinId="9" hidden="1"/>
    <cellStyle name="Followed Hyperlink" xfId="664" builtinId="9" hidden="1"/>
    <cellStyle name="Followed Hyperlink" xfId="36" builtinId="9" hidden="1"/>
    <cellStyle name="Followed Hyperlink" xfId="122" builtinId="9" hidden="1"/>
    <cellStyle name="Followed Hyperlink" xfId="634" builtinId="9" hidden="1"/>
    <cellStyle name="Followed Hyperlink" xfId="372" builtinId="9" hidden="1"/>
    <cellStyle name="Followed Hyperlink" xfId="262" builtinId="9" hidden="1"/>
    <cellStyle name="Followed Hyperlink" xfId="376" builtinId="9" hidden="1"/>
    <cellStyle name="Followed Hyperlink" xfId="342" builtinId="9" hidden="1"/>
    <cellStyle name="Followed Hyperlink" xfId="424" builtinId="9" hidden="1"/>
    <cellStyle name="Followed Hyperlink" xfId="554" builtinId="9" hidden="1"/>
    <cellStyle name="Followed Hyperlink" xfId="462" builtinId="9" hidden="1"/>
    <cellStyle name="Followed Hyperlink" xfId="516" builtinId="9" hidden="1"/>
    <cellStyle name="Followed Hyperlink" xfId="232" builtinId="9" hidden="1"/>
    <cellStyle name="Followed Hyperlink" xfId="22" builtinId="9" hidden="1"/>
    <cellStyle name="Followed Hyperlink" xfId="88" builtinId="9" hidden="1"/>
    <cellStyle name="Followed Hyperlink" xfId="626" builtinId="9" hidden="1"/>
    <cellStyle name="Followed Hyperlink" xfId="6" builtinId="9" hidden="1"/>
    <cellStyle name="Followed Hyperlink" xfId="78" builtinId="9" hidden="1"/>
    <cellStyle name="Followed Hyperlink" xfId="56" builtinId="9" hidden="1"/>
    <cellStyle name="Followed Hyperlink" xfId="68" builtinId="9" hidden="1"/>
    <cellStyle name="Followed Hyperlink" xfId="384" builtinId="9" hidden="1"/>
    <cellStyle name="Followed Hyperlink" xfId="698" builtinId="9" hidden="1"/>
    <cellStyle name="Followed Hyperlink" xfId="418" builtinId="9" hidden="1"/>
    <cellStyle name="Followed Hyperlink" xfId="512" builtinId="9" hidden="1"/>
    <cellStyle name="Followed Hyperlink" xfId="258" builtinId="9" hidden="1"/>
    <cellStyle name="Followed Hyperlink" xfId="660" builtinId="9" hidden="1"/>
    <cellStyle name="Followed Hyperlink" xfId="456" builtinId="9" hidden="1"/>
    <cellStyle name="Followed Hyperlink" xfId="28" builtinId="9" hidden="1"/>
    <cellStyle name="Followed Hyperlink" xfId="168" builtinId="9" hidden="1"/>
    <cellStyle name="Followed Hyperlink" xfId="668" builtinId="9" hidden="1"/>
    <cellStyle name="Followed Hyperlink" xfId="722" builtinId="9" hidden="1"/>
    <cellStyle name="Followed Hyperlink" xfId="140" builtinId="9" hidden="1"/>
    <cellStyle name="Followed Hyperlink" xfId="182" builtinId="9" hidden="1"/>
    <cellStyle name="Followed Hyperlink" xfId="584" builtinId="9" hidden="1"/>
    <cellStyle name="Followed Hyperlink" xfId="532" builtinId="9" hidden="1"/>
    <cellStyle name="Followed Hyperlink" xfId="130" builtinId="9" hidden="1"/>
    <cellStyle name="Followed Hyperlink" xfId="592" builtinId="9" hidden="1"/>
    <cellStyle name="Followed Hyperlink" xfId="546" builtinId="9" hidden="1"/>
    <cellStyle name="Followed Hyperlink" xfId="570" builtinId="9" hidden="1"/>
    <cellStyle name="Followed Hyperlink" xfId="408" builtinId="9" hidden="1"/>
    <cellStyle name="Followed Hyperlink" xfId="106" builtinId="9" hidden="1"/>
    <cellStyle name="Followed Hyperlink" xfId="508" builtinId="9" hidden="1"/>
    <cellStyle name="Followed Hyperlink" xfId="206" builtinId="9" hidden="1"/>
    <cellStyle name="Followed Hyperlink" xfId="114" builtinId="9" hidden="1"/>
    <cellStyle name="Followed Hyperlink" xfId="192" builtinId="9" hidden="1"/>
    <cellStyle name="Followed Hyperlink" xfId="470" builtinId="9" hidden="1"/>
    <cellStyle name="Followed Hyperlink" xfId="646" builtinId="9" hidden="1"/>
    <cellStyle name="Followed Hyperlink" xfId="244" builtinId="9" hidden="1"/>
    <cellStyle name="Followed Hyperlink" xfId="44" builtinId="9" hidden="1"/>
    <cellStyle name="Followed Hyperlink" xfId="574" builtinId="9" hidden="1"/>
    <cellStyle name="Followed Hyperlink" xfId="684" builtinId="9" hidden="1"/>
    <cellStyle name="Followed Hyperlink" xfId="282" builtinId="9" hidden="1"/>
    <cellStyle name="Followed Hyperlink" xfId="248" builtinId="9" hidden="1"/>
    <cellStyle name="Followed Hyperlink" xfId="230" builtinId="9" hidden="1"/>
    <cellStyle name="Followed Hyperlink" xfId="138" builtinId="9" hidden="1"/>
    <cellStyle name="Followed Hyperlink" xfId="522" builtinId="9" hidden="1"/>
    <cellStyle name="Followed Hyperlink" xfId="246" builtinId="9" hidden="1"/>
    <cellStyle name="Followed Hyperlink" xfId="614" builtinId="9" hidden="1"/>
    <cellStyle name="Followed Hyperlink" xfId="520" builtinId="9" hidden="1"/>
    <cellStyle name="Followed Hyperlink" xfId="758" builtinId="9" hidden="1"/>
    <cellStyle name="Followed Hyperlink" xfId="80" builtinId="9" hidden="1"/>
    <cellStyle name="Followed Hyperlink" xfId="318" builtinId="9" hidden="1"/>
    <cellStyle name="Followed Hyperlink" xfId="734" builtinId="9" hidden="1"/>
    <cellStyle name="Followed Hyperlink" xfId="396" builtinId="9" hidden="1"/>
    <cellStyle name="Followed Hyperlink" xfId="54" builtinId="9" hidden="1"/>
    <cellStyle name="Followed Hyperlink" xfId="392" builtinId="9" hidden="1"/>
    <cellStyle name="Followed Hyperlink" xfId="682" builtinId="9" hidden="1"/>
    <cellStyle name="Followed Hyperlink" xfId="434" builtinId="9" hidden="1"/>
    <cellStyle name="Followed Hyperlink" xfId="494" builtinId="9" hidden="1"/>
    <cellStyle name="Followed Hyperlink" xfId="142" builtinId="9" hidden="1"/>
    <cellStyle name="Followed Hyperlink" xfId="644" builtinId="9" hidden="1"/>
    <cellStyle name="Followed Hyperlink" xfId="472" builtinId="9" hidden="1"/>
    <cellStyle name="Followed Hyperlink" xfId="70" builtinId="9" hidden="1"/>
    <cellStyle name="Followed Hyperlink" xfId="204" builtinId="9" hidden="1"/>
    <cellStyle name="Followed Hyperlink" xfId="656" builtinId="9" hidden="1"/>
    <cellStyle name="Followed Hyperlink" xfId="510" builtinId="9" hidden="1"/>
    <cellStyle name="Followed Hyperlink" xfId="164" builtinId="9" hidden="1"/>
    <cellStyle name="Followed Hyperlink" xfId="166" builtinId="9" hidden="1"/>
    <cellStyle name="Followed Hyperlink" xfId="568" builtinId="9" hidden="1"/>
    <cellStyle name="Followed Hyperlink" xfId="348" builtinId="9" hidden="1"/>
    <cellStyle name="Followed Hyperlink" xfId="420" builtinId="9" hidden="1"/>
    <cellStyle name="Followed Hyperlink" xfId="466" builtinId="9" hidden="1"/>
    <cellStyle name="Followed Hyperlink" xfId="612" builtinId="9" hidden="1"/>
    <cellStyle name="Followed Hyperlink" xfId="586" builtinId="9" hidden="1"/>
    <cellStyle name="Followed Hyperlink" xfId="440" builtinId="9" hidden="1"/>
    <cellStyle name="Followed Hyperlink" xfId="90" builtinId="9" hidden="1"/>
    <cellStyle name="Followed Hyperlink" xfId="492" builtinId="9" hidden="1"/>
    <cellStyle name="Followed Hyperlink" xfId="670" builtinId="9" hidden="1"/>
    <cellStyle name="Followed Hyperlink" xfId="222" builtinId="9" hidden="1"/>
    <cellStyle name="Followed Hyperlink" xfId="172" builtinId="9" hidden="1"/>
    <cellStyle name="Followed Hyperlink" xfId="454" builtinId="9" hidden="1"/>
    <cellStyle name="Followed Hyperlink" xfId="662" builtinId="9" hidden="1"/>
    <cellStyle name="Followed Hyperlink" xfId="260" builtinId="9" hidden="1"/>
    <cellStyle name="Followed Hyperlink" xfId="38" builtinId="9" hidden="1"/>
    <cellStyle name="Followed Hyperlink" xfId="302" builtinId="9" hidden="1"/>
    <cellStyle name="Followed Hyperlink" xfId="700" builtinId="9" hidden="1"/>
    <cellStyle name="Followed Hyperlink" xfId="298" builtinId="9" hidden="1"/>
    <cellStyle name="Followed Hyperlink" xfId="224" builtinId="9" hidden="1"/>
    <cellStyle name="Followed Hyperlink" xfId="378" builtinId="9" hidden="1"/>
    <cellStyle name="Followed Hyperlink" xfId="2" builtinId="9" hidden="1"/>
    <cellStyle name="Followed Hyperlink" xfId="688" builtinId="9" hidden="1"/>
    <cellStyle name="Followed Hyperlink" xfId="414" builtinId="9" hidden="1"/>
    <cellStyle name="Followed Hyperlink" xfId="738" builtinId="9" hidden="1"/>
    <cellStyle name="Followed Hyperlink" xfId="226" builtinId="9" hidden="1"/>
    <cellStyle name="Followed Hyperlink" xfId="450" builtinId="9" hidden="1"/>
    <cellStyle name="Followed Hyperlink" xfId="556" builtinId="9" hidden="1"/>
    <cellStyle name="Followed Hyperlink" xfId="596" builtinId="9" hidden="1"/>
    <cellStyle name="Followed Hyperlink" xfId="410" builtinId="9" hidden="1"/>
    <cellStyle name="Followed Hyperlink" xfId="706" builtinId="9" hidden="1"/>
    <cellStyle name="Followed Hyperlink" xfId="340" builtinId="9" hidden="1"/>
    <cellStyle name="Followed Hyperlink" xfId="704" builtinId="9" hidden="1"/>
    <cellStyle name="Followed Hyperlink" xfId="524" builtinId="9" hidden="1"/>
    <cellStyle name="Followed Hyperlink" xfId="158" builtinId="9" hidden="1"/>
    <cellStyle name="Followed Hyperlink" xfId="560" builtinId="9" hidden="1"/>
    <cellStyle name="Followed Hyperlink" xfId="190" builtinId="9" hidden="1"/>
    <cellStyle name="Followed Hyperlink" xfId="628" builtinId="9" hidden="1"/>
    <cellStyle name="Followed Hyperlink" xfId="488" builtinId="9" hidden="1"/>
    <cellStyle name="Followed Hyperlink" xfId="86" builtinId="9" hidden="1"/>
    <cellStyle name="Followed Hyperlink" xfId="112" builtinId="9" hidden="1"/>
    <cellStyle name="Followed Hyperlink" xfId="306" builtinId="9" hidden="1"/>
    <cellStyle name="Followed Hyperlink" xfId="338" builtinId="9" hidden="1"/>
    <cellStyle name="Followed Hyperlink" xfId="152" builtinId="9" hidden="1"/>
    <cellStyle name="Followed Hyperlink" xfId="150" builtinId="9" hidden="1"/>
    <cellStyle name="Followed Hyperlink" xfId="552" builtinId="9" hidden="1"/>
    <cellStyle name="Followed Hyperlink" xfId="564" builtinId="9" hidden="1"/>
    <cellStyle name="Followed Hyperlink" xfId="162" builtinId="9" hidden="1"/>
    <cellStyle name="Followed Hyperlink" xfId="608" builtinId="9" hidden="1"/>
    <cellStyle name="Followed Hyperlink" xfId="514" builtinId="9" hidden="1"/>
    <cellStyle name="Followed Hyperlink" xfId="602" builtinId="9" hidden="1"/>
    <cellStyle name="Followed Hyperlink" xfId="448" builtinId="9" hidden="1"/>
    <cellStyle name="Followed Hyperlink" xfId="74" builtinId="9" hidden="1"/>
    <cellStyle name="Followed Hyperlink" xfId="292" builtinId="9" hidden="1"/>
    <cellStyle name="Followed Hyperlink" xfId="540" builtinId="9" hidden="1"/>
    <cellStyle name="Followed Hyperlink" xfId="476" builtinId="9" hidden="1"/>
    <cellStyle name="Followed Hyperlink" xfId="124" builtinId="9" hidden="1"/>
    <cellStyle name="Followed Hyperlink" xfId="438" builtinId="9" hidden="1"/>
    <cellStyle name="Followed Hyperlink" xfId="678" builtinId="9" hidden="1"/>
    <cellStyle name="Followed Hyperlink" xfId="276" builtinId="9" hidden="1"/>
    <cellStyle name="Followed Hyperlink" xfId="62" builtinId="9" hidden="1"/>
    <cellStyle name="Followed Hyperlink" xfId="638" builtinId="9" hidden="1"/>
    <cellStyle name="Followed Hyperlink" xfId="716" builtinId="9" hidden="1"/>
    <cellStyle name="Followed Hyperlink" xfId="314" builtinId="9" hidden="1"/>
    <cellStyle name="Followed Hyperlink" xfId="208" builtinId="9" hidden="1"/>
    <cellStyle name="Followed Hyperlink" xfId="362" builtinId="9" hidden="1"/>
    <cellStyle name="Followed Hyperlink" xfId="754" builtinId="9" hidden="1"/>
    <cellStyle name="Followed Hyperlink" xfId="270" builtinId="9" hidden="1"/>
    <cellStyle name="Followed Hyperlink" xfId="14" builtinId="9" hidden="1"/>
    <cellStyle name="Followed Hyperlink" xfId="324" builtinId="9" hidden="1"/>
    <cellStyle name="Followed Hyperlink" xfId="726" builtinId="9" hidden="1"/>
    <cellStyle name="Followed Hyperlink" xfId="390" builtinId="9" hidden="1"/>
    <cellStyle name="Followed Hyperlink" xfId="100" builtinId="9" hidden="1"/>
    <cellStyle name="Followed Hyperlink" xfId="286" builtinId="9" hidden="1"/>
    <cellStyle name="Followed Hyperlink" xfId="718" builtinId="9" hidden="1"/>
    <cellStyle name="Followed Hyperlink" xfId="428" builtinId="9" hidden="1"/>
    <cellStyle name="Followed Hyperlink" xfId="48" builtinId="9" hidden="1"/>
    <cellStyle name="Followed Hyperlink" xfId="344" builtinId="9" hidden="1"/>
    <cellStyle name="Followed Hyperlink" xfId="10" builtinId="9" hidden="1"/>
    <cellStyle name="Followed Hyperlink" xfId="58" builtinId="9" hidden="1"/>
    <cellStyle name="Followed Hyperlink" xfId="650" builtinId="9" hidden="1"/>
    <cellStyle name="Followed Hyperlink" xfId="118" builtinId="9" hidden="1"/>
    <cellStyle name="Followed Hyperlink" xfId="102" builtinId="9" hidden="1"/>
    <cellStyle name="Followed Hyperlink" xfId="400" builtinId="9" hidden="1"/>
    <cellStyle name="Followed Hyperlink" xfId="630" builtinId="9" hidden="1"/>
    <cellStyle name="Followed Hyperlink" xfId="120" builtinId="9" hidden="1"/>
    <cellStyle name="Followed Hyperlink" xfId="640" builtinId="9" hidden="1"/>
    <cellStyle name="Followed Hyperlink" xfId="542" builtinId="9" hidden="1"/>
    <cellStyle name="Followed Hyperlink" xfId="144" builtinId="9" hidden="1"/>
    <cellStyle name="Followed Hyperlink" xfId="134" builtinId="9" hidden="1"/>
    <cellStyle name="Followed Hyperlink" xfId="536" builtinId="9" hidden="1"/>
    <cellStyle name="Followed Hyperlink" xfId="580" builtinId="9" hidden="1"/>
    <cellStyle name="Followed Hyperlink" xfId="110" builtinId="9" hidden="1"/>
    <cellStyle name="Followed Hyperlink" xfId="430" builtinId="9" hidden="1"/>
    <cellStyle name="Followed Hyperlink" xfId="498" builtinId="9" hidden="1"/>
    <cellStyle name="Followed Hyperlink" xfId="618" builtinId="9" hidden="1"/>
    <cellStyle name="Followed Hyperlink" xfId="432" builtinId="9" hidden="1"/>
    <cellStyle name="Followed Hyperlink" xfId="26" builtinId="9" hidden="1"/>
    <cellStyle name="Followed Hyperlink" xfId="460" builtinId="9" hidden="1"/>
    <cellStyle name="Followed Hyperlink" xfId="686" builtinId="9" hidden="1"/>
    <cellStyle name="Followed Hyperlink" xfId="550" builtinId="9" hidden="1"/>
    <cellStyle name="Followed Hyperlink" xfId="200" builtinId="9" hidden="1"/>
    <cellStyle name="Followed Hyperlink" xfId="566" builtinId="9" hidden="1"/>
    <cellStyle name="Followed Hyperlink" xfId="176" builtinId="9" hidden="1"/>
    <cellStyle name="Followed Hyperlink" xfId="484" builtinId="9" hidden="1"/>
    <cellStyle name="Followed Hyperlink" xfId="220" builtinId="9" hidden="1"/>
    <cellStyle name="Followed Hyperlink" xfId="732" builtinId="9" hidden="1"/>
    <cellStyle name="Followed Hyperlink" xfId="76" builtinId="9" hidden="1"/>
    <cellStyle name="Followed Hyperlink" xfId="356" builtinId="9" hidden="1"/>
    <cellStyle name="Followed Hyperlink" xfId="202" builtinId="9" hidden="1"/>
    <cellStyle name="Followed Hyperlink" xfId="694" builtinId="9" hidden="1"/>
    <cellStyle name="Followed Hyperlink" xfId="240" builtinId="9" hidden="1"/>
    <cellStyle name="Followed Hyperlink" xfId="474" builtinId="9" hidden="1"/>
    <cellStyle name="Followed Hyperlink" xfId="108" builtinId="9" hidden="1"/>
    <cellStyle name="Followed Hyperlink" xfId="642" builtinId="9" hidden="1"/>
    <cellStyle name="Followed Hyperlink" xfId="528" builtinId="9" hidden="1"/>
    <cellStyle name="Followed Hyperlink" xfId="254" builtinId="9" hidden="1"/>
    <cellStyle name="Followed Hyperlink" xfId="422" builtinId="9" hidden="1"/>
    <cellStyle name="Followed Hyperlink" xfId="132" builtinId="9" hidden="1"/>
    <cellStyle name="Followed Hyperlink" xfId="530" builtinId="9" hidden="1"/>
    <cellStyle name="Followed Hyperlink" xfId="330" builtinId="9" hidden="1"/>
    <cellStyle name="Followed Hyperlink" xfId="346" builtinId="9" hidden="1"/>
    <cellStyle name="Followed Hyperlink" xfId="16" builtinId="9" hidden="1"/>
    <cellStyle name="Followed Hyperlink" xfId="606" builtinId="9" hidden="1"/>
    <cellStyle name="Followed Hyperlink" xfId="126" builtinId="9" hidden="1"/>
    <cellStyle name="Followed Hyperlink" xfId="748" builtinId="9" hidden="1"/>
    <cellStyle name="Followed Hyperlink" xfId="136" builtinId="9" hidden="1"/>
    <cellStyle name="Followed Hyperlink" xfId="702" builtinId="9" hidden="1"/>
    <cellStyle name="Followed Hyperlink" xfId="308" builtinId="9" hidden="1"/>
    <cellStyle name="Followed Hyperlink" xfId="588" builtinId="9" hidden="1"/>
    <cellStyle name="Followed Hyperlink" xfId="186" builtinId="9" hidden="1"/>
    <cellStyle name="Followed Hyperlink" xfId="710" builtinId="9" hidden="1"/>
    <cellStyle name="Hyperlink" xfId="409" builtinId="8" hidden="1"/>
    <cellStyle name="Hyperlink" xfId="343" builtinId="8" hidden="1"/>
    <cellStyle name="Hyperlink" xfId="719" builtinId="8" hidden="1"/>
    <cellStyle name="Hyperlink" xfId="609" builtinId="8" hidden="1"/>
    <cellStyle name="Hyperlink" xfId="353" builtinId="8" hidden="1"/>
    <cellStyle name="Hyperlink" xfId="419" builtinId="8" hidden="1"/>
    <cellStyle name="Hyperlink" xfId="225" builtinId="8" hidden="1"/>
    <cellStyle name="Hyperlink" xfId="347" builtinId="8" hidden="1"/>
    <cellStyle name="Hyperlink" xfId="233" builtinId="8" hidden="1"/>
    <cellStyle name="Hyperlink" xfId="209" builtinId="8" hidden="1"/>
    <cellStyle name="Hyperlink" xfId="145" builtinId="8" hidden="1"/>
    <cellStyle name="Hyperlink" xfId="403" builtinId="8" hidden="1"/>
    <cellStyle name="Hyperlink" xfId="51" builtinId="8" hidden="1"/>
    <cellStyle name="Hyperlink" xfId="491" builtinId="8" hidden="1"/>
    <cellStyle name="Hyperlink" xfId="271" builtinId="8" hidden="1"/>
    <cellStyle name="Hyperlink" xfId="369" builtinId="8" hidden="1"/>
    <cellStyle name="Hyperlink" xfId="439" builtinId="8" hidden="1"/>
    <cellStyle name="Hyperlink" xfId="429" builtinId="8" hidden="1"/>
    <cellStyle name="Hyperlink" xfId="313" builtinId="8" hidden="1"/>
    <cellStyle name="Hyperlink" xfId="329" builtinId="8" hidden="1"/>
    <cellStyle name="Hyperlink" xfId="295" builtinId="8" hidden="1"/>
    <cellStyle name="Hyperlink" xfId="393" builtinId="8" hidden="1"/>
    <cellStyle name="Hyperlink" xfId="397" builtinId="8" hidden="1"/>
    <cellStyle name="Hyperlink" xfId="569" builtinId="8" hidden="1"/>
    <cellStyle name="Hyperlink" xfId="637" builtinId="8" hidden="1"/>
    <cellStyle name="Hyperlink" xfId="575" builtinId="8" hidden="1"/>
    <cellStyle name="Hyperlink" xfId="489" builtinId="8" hidden="1"/>
    <cellStyle name="Hyperlink" xfId="465" builtinId="8" hidden="1"/>
    <cellStyle name="Hyperlink" xfId="389" builtinId="8" hidden="1"/>
    <cellStyle name="Hyperlink" xfId="337" builtinId="8" hidden="1"/>
    <cellStyle name="Hyperlink" xfId="303" builtinId="8" hidden="1"/>
    <cellStyle name="Hyperlink" xfId="433" builtinId="8" hidden="1"/>
    <cellStyle name="Hyperlink" xfId="561" builtinId="8" hidden="1"/>
    <cellStyle name="Hyperlink" xfId="421" builtinId="8" hidden="1"/>
    <cellStyle name="Hyperlink" xfId="297" builtinId="8" hidden="1"/>
    <cellStyle name="Hyperlink" xfId="623" builtinId="8" hidden="1"/>
    <cellStyle name="Hyperlink" xfId="721" builtinId="8" hidden="1"/>
    <cellStyle name="Hyperlink" xfId="81" builtinId="8" hidden="1"/>
    <cellStyle name="Hyperlink" xfId="187" builtinId="8" hidden="1"/>
    <cellStyle name="Hyperlink" xfId="289" builtinId="8" hidden="1"/>
    <cellStyle name="Hyperlink" xfId="477" builtinId="8" hidden="1"/>
    <cellStyle name="Hyperlink" xfId="383" builtinId="8" hidden="1"/>
    <cellStyle name="Hyperlink" xfId="501" builtinId="8" hidden="1"/>
    <cellStyle name="Hyperlink" xfId="583" builtinId="8" hidden="1"/>
    <cellStyle name="Hyperlink" xfId="305" builtinId="8" hidden="1"/>
    <cellStyle name="Hyperlink" xfId="441" builtinId="8" hidden="1"/>
    <cellStyle name="Hyperlink" xfId="509" builtinId="8" hidden="1"/>
    <cellStyle name="Hyperlink" xfId="641" builtinId="8" hidden="1"/>
    <cellStyle name="Hyperlink" xfId="601" builtinId="8" hidden="1"/>
    <cellStyle name="Hyperlink" xfId="553" builtinId="8" hidden="1"/>
    <cellStyle name="Hyperlink" xfId="461" builtinId="8" hidden="1"/>
    <cellStyle name="Hyperlink" xfId="697" builtinId="8" hidden="1"/>
    <cellStyle name="Hyperlink" xfId="555" builtinId="8" hidden="1"/>
    <cellStyle name="Hyperlink" xfId="599" builtinId="8" hidden="1"/>
    <cellStyle name="Hyperlink" xfId="75" builtinId="8" hidden="1"/>
    <cellStyle name="Hyperlink" xfId="17" builtinId="8" hidden="1"/>
    <cellStyle name="Hyperlink" xfId="387" builtinId="8" hidden="1"/>
    <cellStyle name="Hyperlink" xfId="239" builtinId="8" hidden="1"/>
    <cellStyle name="Hyperlink" xfId="725" builtinId="8" hidden="1"/>
    <cellStyle name="Hyperlink" xfId="5" builtinId="8" hidden="1"/>
    <cellStyle name="Hyperlink" xfId="367" builtinId="8" hidden="1"/>
    <cellStyle name="Hyperlink" xfId="381" builtinId="8" hidden="1"/>
    <cellStyle name="Hyperlink" xfId="31" builtinId="8" hidden="1"/>
    <cellStyle name="Hyperlink" xfId="179" builtinId="8" hidden="1"/>
    <cellStyle name="Hyperlink" xfId="61" builtinId="8" hidden="1"/>
    <cellStyle name="Hyperlink" xfId="23" builtinId="8" hidden="1"/>
    <cellStyle name="Hyperlink" xfId="521" builtinId="8" hidden="1"/>
    <cellStyle name="Hyperlink" xfId="33" builtinId="8" hidden="1"/>
    <cellStyle name="Hyperlink" xfId="155" builtinId="8" hidden="1"/>
    <cellStyle name="Hyperlink" xfId="185" builtinId="8" hidden="1"/>
    <cellStyle name="Hyperlink" xfId="97" builtinId="8" hidden="1"/>
    <cellStyle name="Hyperlink" xfId="3" builtinId="8" hidden="1"/>
    <cellStyle name="Hyperlink" xfId="405" builtinId="8" hidden="1"/>
    <cellStyle name="Hyperlink" xfId="487" builtinId="8" hidden="1"/>
    <cellStyle name="Hyperlink" xfId="109" builtinId="8" hidden="1"/>
    <cellStyle name="Hyperlink" xfId="91" builtinId="8" hidden="1"/>
    <cellStyle name="Hyperlink" xfId="361" builtinId="8" hidden="1"/>
    <cellStyle name="Hyperlink" xfId="323" builtinId="8" hidden="1"/>
    <cellStyle name="Hyperlink" xfId="191" builtinId="8" hidden="1"/>
    <cellStyle name="Hyperlink" xfId="275" builtinId="8" hidden="1"/>
    <cellStyle name="Hyperlink" xfId="537" builtinId="8" hidden="1"/>
    <cellStyle name="Hyperlink" xfId="325" builtinId="8" hidden="1"/>
    <cellStyle name="Hyperlink" xfId="391" builtinId="8" hidden="1"/>
    <cellStyle name="Hyperlink" xfId="357" builtinId="8" hidden="1"/>
    <cellStyle name="Hyperlink" xfId="677" builtinId="8" hidden="1"/>
    <cellStyle name="Hyperlink" xfId="513" builtinId="8" hidden="1"/>
    <cellStyle name="Hyperlink" xfId="317" builtinId="8" hidden="1"/>
    <cellStyle name="Hyperlink" xfId="647" builtinId="8" hidden="1"/>
    <cellStyle name="Hyperlink" xfId="199" builtinId="8" hidden="1"/>
    <cellStyle name="Hyperlink" xfId="547" builtinId="8" hidden="1"/>
    <cellStyle name="Hyperlink" xfId="713" builtinId="8" hidden="1"/>
    <cellStyle name="Hyperlink" xfId="669" builtinId="8" hidden="1"/>
    <cellStyle name="Hyperlink" xfId="475" builtinId="8" hidden="1"/>
    <cellStyle name="Hyperlink" xfId="707" builtinId="8" hidden="1"/>
    <cellStyle name="Hyperlink" xfId="619" builtinId="8" hidden="1"/>
    <cellStyle name="Hyperlink" xfId="101" builtinId="8" hidden="1"/>
    <cellStyle name="Hyperlink" xfId="37" builtinId="8" hidden="1"/>
    <cellStyle name="Hyperlink" xfId="11" builtinId="8" hidden="1"/>
    <cellStyle name="Hyperlink" xfId="451" builtinId="8" hidden="1"/>
    <cellStyle name="Hyperlink" xfId="379" builtinId="8" hidden="1"/>
    <cellStyle name="Hyperlink" xfId="371" builtinId="8" hidden="1"/>
    <cellStyle name="Hyperlink" xfId="119" builtinId="8" hidden="1"/>
    <cellStyle name="Hyperlink" xfId="133" builtinId="8" hidden="1"/>
    <cellStyle name="Hyperlink" xfId="135" builtinId="8" hidden="1"/>
    <cellStyle name="Hyperlink" xfId="163" builtinId="8" hidden="1"/>
    <cellStyle name="Hyperlink" xfId="181" builtinId="8" hidden="1"/>
    <cellStyle name="Hyperlink" xfId="193" builtinId="8" hidden="1"/>
    <cellStyle name="Hyperlink" xfId="215" builtinId="8" hidden="1"/>
    <cellStyle name="Hyperlink" xfId="217" builtinId="8" hidden="1"/>
    <cellStyle name="Hyperlink" xfId="247" builtinId="8" hidden="1"/>
    <cellStyle name="Hyperlink" xfId="263" builtinId="8" hidden="1"/>
    <cellStyle name="Hyperlink" xfId="267" builtinId="8" hidden="1"/>
    <cellStyle name="Hyperlink" xfId="203" builtinId="8" hidden="1"/>
    <cellStyle name="Hyperlink" xfId="171" builtinId="8" hidden="1"/>
    <cellStyle name="Hyperlink" xfId="197" builtinId="8" hidden="1"/>
    <cellStyle name="Hyperlink" xfId="745" builtinId="8" hidden="1"/>
    <cellStyle name="Hyperlink" xfId="147" builtinId="8" hidden="1"/>
    <cellStyle name="Hyperlink" xfId="261" builtinId="8" hidden="1"/>
    <cellStyle name="Hyperlink" xfId="189" builtinId="8" hidden="1"/>
    <cellStyle name="Hyperlink" xfId="311" builtinId="8" hidden="1"/>
    <cellStyle name="Hyperlink" xfId="279" builtinId="8" hidden="1"/>
    <cellStyle name="Hyperlink" xfId="307" builtinId="8" hidden="1"/>
    <cellStyle name="Hyperlink" xfId="235" builtinId="8" hidden="1"/>
    <cellStyle name="Hyperlink" xfId="175" builtinId="8" hidden="1"/>
    <cellStyle name="Hyperlink" xfId="283" builtinId="8" hidden="1"/>
    <cellStyle name="Hyperlink" xfId="7" builtinId="8" hidden="1"/>
    <cellStyle name="Hyperlink" xfId="111" builtinId="8" hidden="1"/>
    <cellStyle name="Hyperlink" xfId="65" builtinId="8" hidden="1"/>
    <cellStyle name="Hyperlink" xfId="105" builtinId="8" hidden="1"/>
    <cellStyle name="Hyperlink" xfId="363" builtinId="8" hidden="1"/>
    <cellStyle name="Hyperlink" xfId="245" builtinId="8" hidden="1"/>
    <cellStyle name="Hyperlink" xfId="153" builtinId="8" hidden="1"/>
    <cellStyle name="Hyperlink" xfId="71" builtinId="8" hidden="1"/>
    <cellStyle name="Hyperlink" xfId="531" builtinId="8" hidden="1"/>
    <cellStyle name="Hyperlink" xfId="415" builtinId="8" hidden="1"/>
    <cellStyle name="Hyperlink" xfId="661" builtinId="8" hidden="1"/>
    <cellStyle name="Hyperlink" xfId="499" builtinId="8" hidden="1"/>
    <cellStyle name="Hyperlink" xfId="739" builtinId="8" hidden="1"/>
    <cellStyle name="Hyperlink" xfId="699" builtinId="8" hidden="1"/>
    <cellStyle name="Hyperlink" xfId="563" builtinId="8" hidden="1"/>
    <cellStyle name="Hyperlink" xfId="735" builtinId="8" hidden="1"/>
    <cellStyle name="Hyperlink" xfId="603" builtinId="8" hidden="1"/>
    <cellStyle name="Hyperlink" xfId="41" builtinId="8" hidden="1"/>
    <cellStyle name="Hyperlink" xfId="265" builtinId="8" hidden="1"/>
    <cellStyle name="Hyperlink" xfId="749" builtinId="8" hidden="1"/>
    <cellStyle name="Hyperlink" xfId="507" builtinId="8" hidden="1"/>
    <cellStyle name="Hyperlink" xfId="523" builtinId="8" hidden="1"/>
    <cellStyle name="Hyperlink" xfId="577" builtinId="8" hidden="1"/>
    <cellStyle name="Hyperlink" xfId="741" builtinId="8" hidden="1"/>
    <cellStyle name="Hyperlink" xfId="615" builtinId="8" hidden="1"/>
    <cellStyle name="Hyperlink" xfId="589" builtinId="8" hidden="1"/>
    <cellStyle name="Hyperlink" xfId="557" builtinId="8" hidden="1"/>
    <cellStyle name="Hyperlink" xfId="471" builtinId="8" hidden="1"/>
    <cellStyle name="Hyperlink" xfId="447" builtinId="8" hidden="1"/>
    <cellStyle name="Hyperlink" xfId="587" builtinId="8" hidden="1"/>
    <cellStyle name="Hyperlink" xfId="345" builtinId="8" hidden="1"/>
    <cellStyle name="Hyperlink" xfId="131" builtinId="8" hidden="1"/>
    <cellStyle name="Hyperlink" xfId="231" builtinId="8" hidden="1"/>
    <cellStyle name="Hyperlink" xfId="639" builtinId="8" hidden="1"/>
    <cellStyle name="Hyperlink" xfId="723" builtinId="8" hidden="1"/>
    <cellStyle name="Hyperlink" xfId="443" builtinId="8" hidden="1"/>
    <cellStyle name="Hyperlink" xfId="653" builtinId="8" hidden="1"/>
    <cellStyle name="Hyperlink" xfId="483" builtinId="8" hidden="1"/>
    <cellStyle name="Hyperlink" xfId="695" builtinId="8" hidden="1"/>
    <cellStyle name="Hyperlink" xfId="717" builtinId="8" hidden="1"/>
    <cellStyle name="Hyperlink" xfId="733" builtinId="8" hidden="1"/>
    <cellStyle name="Hyperlink" xfId="671" builtinId="8" hidden="1"/>
    <cellStyle name="Hyperlink" xfId="627" builtinId="8" hidden="1"/>
    <cellStyle name="Hyperlink" xfId="611" builtinId="8" hidden="1"/>
    <cellStyle name="Hyperlink" xfId="571" builtinId="8" hidden="1"/>
    <cellStyle name="Hyperlink" xfId="221" builtinId="8" hidden="1"/>
    <cellStyle name="Hyperlink" xfId="139" builtinId="8" hidden="1"/>
    <cellStyle name="Hyperlink" xfId="227" builtinId="8" hidden="1"/>
    <cellStyle name="Hyperlink" xfId="169" builtinId="8" hidden="1"/>
    <cellStyle name="Hyperlink" xfId="129" builtinId="8" hidden="1"/>
    <cellStyle name="Hyperlink" xfId="339" builtinId="8" hidden="1"/>
    <cellStyle name="Hyperlink" xfId="643" builtinId="8" hidden="1"/>
    <cellStyle name="Hyperlink" xfId="125" builtinId="8" hidden="1"/>
    <cellStyle name="Hyperlink" xfId="727" builtinId="8" hidden="1"/>
    <cellStyle name="Hyperlink" xfId="681" builtinId="8" hidden="1"/>
    <cellStyle name="Hyperlink" xfId="467" builtinId="8" hidden="1"/>
    <cellStyle name="Hyperlink" xfId="595" builtinId="8" hidden="1"/>
    <cellStyle name="Hyperlink" xfId="211" builtinId="8" hidden="1"/>
    <cellStyle name="Hyperlink" xfId="515" builtinId="8" hidden="1"/>
    <cellStyle name="Hyperlink" xfId="673" builtinId="8" hidden="1"/>
    <cellStyle name="Hyperlink" xfId="705" builtinId="8" hidden="1"/>
    <cellStyle name="Hyperlink" xfId="251" builtinId="8" hidden="1"/>
    <cellStyle name="Hyperlink" xfId="43" builtinId="8" hidden="1"/>
    <cellStyle name="Hyperlink" xfId="385" builtinId="8" hidden="1"/>
    <cellStyle name="Hyperlink" xfId="497" builtinId="8" hidden="1"/>
    <cellStyle name="Hyperlink" xfId="527" builtinId="8" hidden="1"/>
    <cellStyle name="Hyperlink" xfId="663" builtinId="8" hidden="1"/>
    <cellStyle name="Hyperlink" xfId="291" builtinId="8" hidden="1"/>
    <cellStyle name="Hyperlink" xfId="689" builtinId="8" hidden="1"/>
    <cellStyle name="Hyperlink" xfId="667" builtinId="8" hidden="1"/>
    <cellStyle name="Hyperlink" xfId="143" builtinId="8" hidden="1"/>
    <cellStyle name="Hyperlink" xfId="237" builtinId="8" hidden="1"/>
    <cellStyle name="Hyperlink" xfId="73" builtinId="8" hidden="1"/>
    <cellStyle name="Hyperlink" xfId="685" builtinId="8" hidden="1"/>
    <cellStyle name="Hyperlink" xfId="435" builtinId="8" hidden="1"/>
    <cellStyle name="Hyperlink" xfId="151" builtinId="8" hidden="1"/>
    <cellStyle name="Hyperlink" xfId="757" builtinId="8" hidden="1"/>
    <cellStyle name="Hyperlink" xfId="55" builtinId="8" hidden="1"/>
    <cellStyle name="Hyperlink" xfId="257" builtinId="8" hidden="1"/>
    <cellStyle name="Hyperlink" xfId="201" builtinId="8" hidden="1"/>
    <cellStyle name="Hyperlink" xfId="161" builtinId="8" hidden="1"/>
    <cellStyle name="Hyperlink" xfId="355" builtinId="8" hidden="1"/>
    <cellStyle name="Hyperlink" xfId="115" builtinId="8" hidden="1"/>
    <cellStyle name="Hyperlink" xfId="205" builtinId="8" hidden="1"/>
    <cellStyle name="Hyperlink" xfId="703" builtinId="8" hidden="1"/>
    <cellStyle name="Hyperlink" xfId="255" builtinId="8" hidden="1"/>
    <cellStyle name="Hyperlink" xfId="377" builtinId="8" hidden="1"/>
    <cellStyle name="Hyperlink" xfId="301" builtinId="8" hidden="1"/>
    <cellStyle name="Hyperlink" xfId="349" builtinId="8" hidden="1"/>
    <cellStyle name="Hyperlink" xfId="651" builtinId="8" hidden="1"/>
    <cellStyle name="Hyperlink" xfId="597" builtinId="8" hidden="1"/>
    <cellStyle name="Hyperlink" xfId="47" builtinId="8" hidden="1"/>
    <cellStyle name="Hyperlink" xfId="93" builtinId="8" hidden="1"/>
    <cellStyle name="Hyperlink" xfId="285" builtinId="8" hidden="1"/>
    <cellStyle name="Hyperlink" xfId="731" builtinId="8" hidden="1"/>
    <cellStyle name="Hyperlink" xfId="675" builtinId="8" hidden="1"/>
    <cellStyle name="Hyperlink" xfId="53" builtinId="8" hidden="1"/>
    <cellStyle name="Hyperlink" xfId="319" builtinId="8" hidden="1"/>
    <cellStyle name="Hyperlink" xfId="517" builtinId="8" hidden="1"/>
    <cellStyle name="Hyperlink" xfId="359" builtinId="8" hidden="1"/>
    <cellStyle name="Hyperlink" xfId="657" builtinId="8" hidden="1"/>
    <cellStyle name="Hyperlink" xfId="309" builtinId="8" hidden="1"/>
    <cellStyle name="Hyperlink" xfId="165" builtinId="8" hidden="1"/>
    <cellStyle name="Hyperlink" xfId="321" builtinId="8" hidden="1"/>
    <cellStyle name="Hyperlink" xfId="401" builtinId="8" hidden="1"/>
    <cellStyle name="Hyperlink" xfId="485" builtinId="8" hidden="1"/>
    <cellStyle name="Hyperlink" xfId="525" builtinId="8" hidden="1"/>
    <cellStyle name="Hyperlink" xfId="407" builtinId="8" hidden="1"/>
    <cellStyle name="Hyperlink" xfId="341" builtinId="8" hidden="1"/>
    <cellStyle name="Hyperlink" xfId="281" builtinId="8" hidden="1"/>
    <cellStyle name="Hyperlink" xfId="579" builtinId="8" hidden="1"/>
    <cellStyle name="Hyperlink" xfId="127" builtinId="8" hidden="1"/>
    <cellStyle name="Hyperlink" xfId="253" builtinId="8" hidden="1"/>
    <cellStyle name="Hyperlink" xfId="423" builtinId="8" hidden="1"/>
    <cellStyle name="Hyperlink" xfId="399" builtinId="8" hidden="1"/>
    <cellStyle name="Hyperlink" xfId="755" builtinId="8" hidden="1"/>
    <cellStyle name="Hyperlink" xfId="67" builtinId="8" hidden="1"/>
    <cellStyle name="Hyperlink" xfId="709" builtinId="8" hidden="1"/>
    <cellStyle name="Hyperlink" xfId="533" builtinId="8" hidden="1"/>
    <cellStyle name="Hyperlink" xfId="645" builtinId="8" hidden="1"/>
    <cellStyle name="Hyperlink" xfId="743" builtinId="8" hidden="1"/>
    <cellStyle name="Hyperlink" xfId="183" builtinId="8" hidden="1"/>
    <cellStyle name="Hyperlink" xfId="711" builtinId="8" hidden="1"/>
    <cellStyle name="Hyperlink" xfId="635" builtinId="8" hidden="1"/>
    <cellStyle name="Hyperlink" xfId="679" builtinId="8" hidden="1"/>
    <cellStyle name="Hyperlink" xfId="753" builtinId="8" hidden="1"/>
    <cellStyle name="Hyperlink" xfId="95" builtinId="8" hidden="1"/>
    <cellStyle name="Hyperlink" xfId="157" builtinId="8" hidden="1"/>
    <cellStyle name="Hyperlink" xfId="691" builtinId="8" hidden="1"/>
    <cellStyle name="Hyperlink" xfId="701" builtinId="8" hidden="1"/>
    <cellStyle name="Hyperlink" xfId="63" builtinId="8" hidden="1"/>
    <cellStyle name="Hyperlink" xfId="543" builtinId="8" hidden="1"/>
    <cellStyle name="Hyperlink" xfId="617" builtinId="8" hidden="1"/>
    <cellStyle name="Hyperlink" xfId="195" builtinId="8" hidden="1"/>
    <cellStyle name="Hyperlink" xfId="35" builtinId="8" hidden="1"/>
    <cellStyle name="Hyperlink" xfId="85" builtinId="8" hidden="1"/>
    <cellStyle name="Hyperlink" xfId="59" builtinId="8" hidden="1"/>
    <cellStyle name="Hyperlink" xfId="299" builtinId="8" hidden="1"/>
    <cellStyle name="Hyperlink" xfId="29" builtinId="8" hidden="1"/>
    <cellStyle name="Hyperlink" xfId="277" builtinId="8" hidden="1"/>
    <cellStyle name="Hyperlink" xfId="551" builtinId="8" hidden="1"/>
    <cellStyle name="Hyperlink" xfId="413" builtinId="8" hidden="1"/>
    <cellStyle name="Hyperlink" xfId="327" builtinId="8" hidden="1"/>
    <cellStyle name="Hyperlink" xfId="293" builtinId="8" hidden="1"/>
    <cellStyle name="Hyperlink" xfId="431" builtinId="8" hidden="1"/>
    <cellStyle name="Hyperlink" xfId="395" builtinId="8" hidden="1"/>
    <cellStyle name="Hyperlink" xfId="683" builtinId="8" hidden="1"/>
    <cellStyle name="Hyperlink" xfId="715" builtinId="8" hidden="1"/>
    <cellStyle name="Hyperlink" xfId="751" builtinId="8" hidden="1"/>
    <cellStyle name="Hyperlink" xfId="437" builtinId="8" hidden="1"/>
    <cellStyle name="Hyperlink" xfId="455" builtinId="8" hidden="1"/>
    <cellStyle name="Hyperlink" xfId="457" builtinId="8" hidden="1"/>
    <cellStyle name="Hyperlink" xfId="493" builtinId="8" hidden="1"/>
    <cellStyle name="Hyperlink" xfId="495" builtinId="8" hidden="1"/>
    <cellStyle name="Hyperlink" xfId="519" builtinId="8" hidden="1"/>
    <cellStyle name="Hyperlink" xfId="535" builtinId="8" hidden="1"/>
    <cellStyle name="Hyperlink" xfId="545" builtinId="8" hidden="1"/>
    <cellStyle name="Hyperlink" xfId="565" builtinId="8" hidden="1"/>
    <cellStyle name="Hyperlink" xfId="567" builtinId="8" hidden="1"/>
    <cellStyle name="Hyperlink" xfId="607" builtinId="8" hidden="1"/>
    <cellStyle name="Hyperlink" xfId="621" builtinId="8" hidden="1"/>
    <cellStyle name="Hyperlink" xfId="629" builtinId="8" hidden="1"/>
    <cellStyle name="Hyperlink" xfId="633" builtinId="8" hidden="1"/>
    <cellStyle name="Hyperlink" xfId="549" builtinId="8" hidden="1"/>
    <cellStyle name="Hyperlink" xfId="351" builtinId="8" hidden="1"/>
    <cellStyle name="Hyperlink" xfId="505" builtinId="8" hidden="1"/>
    <cellStyle name="Hyperlink" xfId="541" builtinId="8" hidden="1"/>
    <cellStyle name="Hyperlink" xfId="25" builtinId="8" hidden="1"/>
    <cellStyle name="Hyperlink" xfId="1" builtinId="8" hidden="1"/>
    <cellStyle name="Hyperlink" xfId="473" builtinId="8" hidden="1"/>
    <cellStyle name="Hyperlink" xfId="625" builtinId="8" hidden="1"/>
    <cellStyle name="Hyperlink" xfId="529" builtinId="8" hidden="1"/>
    <cellStyle name="Hyperlink" xfId="479" builtinId="8" hidden="1"/>
    <cellStyle name="Hyperlink" xfId="693" builtinId="8" hidden="1"/>
    <cellStyle name="Hyperlink" xfId="649" builtinId="8" hidden="1"/>
    <cellStyle name="Hyperlink" xfId="687" builtinId="8" hidden="1"/>
    <cellStyle name="Hyperlink" xfId="459" builtinId="8" hidden="1"/>
    <cellStyle name="Hyperlink" xfId="591" builtinId="8" hidden="1"/>
    <cellStyle name="Hyperlink" xfId="511" builtinId="8" hidden="1"/>
    <cellStyle name="Hyperlink" xfId="655" builtinId="8" hidden="1"/>
    <cellStyle name="Hyperlink" xfId="103" builtinId="8" hidden="1"/>
    <cellStyle name="Hyperlink" xfId="287" builtinId="8" hidden="1"/>
    <cellStyle name="Hyperlink" xfId="425" builtinId="8" hidden="1"/>
    <cellStyle name="Hyperlink" xfId="365" builtinId="8" hidden="1"/>
    <cellStyle name="Hyperlink" xfId="375" builtinId="8" hidden="1"/>
    <cellStyle name="Hyperlink" xfId="417" builtinId="8" hidden="1"/>
    <cellStyle name="Hyperlink" xfId="747" builtinId="8" hidden="1"/>
    <cellStyle name="Hyperlink" xfId="605" builtinId="8" hidden="1"/>
    <cellStyle name="Hyperlink" xfId="593" builtinId="8" hidden="1"/>
    <cellStyle name="Hyperlink" xfId="481" builtinId="8" hidden="1"/>
    <cellStyle name="Hyperlink" xfId="373" builtinId="8" hidden="1"/>
    <cellStyle name="Hyperlink" xfId="177" builtinId="8" hidden="1"/>
    <cellStyle name="Hyperlink" xfId="469" builtinId="8" hidden="1"/>
    <cellStyle name="Hyperlink" xfId="539" builtinId="8" hidden="1"/>
    <cellStyle name="Hyperlink" xfId="77" builtinId="8" hidden="1"/>
    <cellStyle name="Hyperlink" xfId="141" builtinId="8" hidden="1"/>
    <cellStyle name="Hyperlink" xfId="83" builtinId="8" hidden="1"/>
    <cellStyle name="Hyperlink" xfId="19" builtinId="8" hidden="1"/>
    <cellStyle name="Hyperlink" xfId="117" builtinId="8" hidden="1"/>
    <cellStyle name="Hyperlink" xfId="213" builtinId="8" hidden="1"/>
    <cellStyle name="Hyperlink" xfId="107" builtinId="8" hidden="1"/>
    <cellStyle name="Hyperlink" xfId="15" builtinId="8" hidden="1"/>
    <cellStyle name="Hyperlink" xfId="259" builtinId="8" hidden="1"/>
    <cellStyle name="Hyperlink" xfId="333" builtinId="8" hidden="1"/>
    <cellStyle name="Hyperlink" xfId="665" builtinId="8" hidden="1"/>
    <cellStyle name="Hyperlink" xfId="631" builtinId="8" hidden="1"/>
    <cellStyle name="Hyperlink" xfId="9" builtinId="8" hidden="1"/>
    <cellStyle name="Hyperlink" xfId="149" builtinId="8" hidden="1"/>
    <cellStyle name="Hyperlink" xfId="79" builtinId="8" hidden="1"/>
    <cellStyle name="Hyperlink" xfId="167" builtinId="8" hidden="1"/>
    <cellStyle name="Hyperlink" xfId="229" builtinId="8" hidden="1"/>
    <cellStyle name="Hyperlink" xfId="21" builtinId="8" hidden="1"/>
    <cellStyle name="Hyperlink" xfId="173" builtinId="8" hidden="1"/>
    <cellStyle name="Hyperlink" xfId="273" builtinId="8" hidden="1"/>
    <cellStyle name="Hyperlink" xfId="243" builtinId="8" hidden="1"/>
    <cellStyle name="Hyperlink" xfId="207" builtinId="8" hidden="1"/>
    <cellStyle name="Hyperlink" xfId="137" builtinId="8" hidden="1"/>
    <cellStyle name="Hyperlink" xfId="315" builtinId="8" hidden="1"/>
    <cellStyle name="Hyperlink" xfId="411" builtinId="8" hidden="1"/>
    <cellStyle name="Hyperlink" xfId="241" builtinId="8" hidden="1"/>
    <cellStyle name="Hyperlink" xfId="659" builtinId="8" hidden="1"/>
    <cellStyle name="Hyperlink" xfId="737" builtinId="8" hidden="1"/>
    <cellStyle name="Hyperlink" xfId="453" builtinId="8" hidden="1"/>
    <cellStyle name="Hyperlink" xfId="585" builtinId="8" hidden="1"/>
    <cellStyle name="Hyperlink" xfId="335" builtinId="8" hidden="1"/>
    <cellStyle name="Hyperlink" xfId="123" builtinId="8" hidden="1"/>
    <cellStyle name="Hyperlink" xfId="45" builtinId="8" hidden="1"/>
    <cellStyle name="Hyperlink" xfId="427" builtinId="8" hidden="1"/>
    <cellStyle name="Hyperlink" xfId="613" builtinId="8" hidden="1"/>
    <cellStyle name="Hyperlink" xfId="69" builtinId="8" hidden="1"/>
    <cellStyle name="Hyperlink" xfId="121" builtinId="8" hidden="1"/>
    <cellStyle name="Hyperlink" xfId="113" builtinId="8" hidden="1"/>
    <cellStyle name="Hyperlink" xfId="27" builtinId="8" hidden="1"/>
    <cellStyle name="Hyperlink" xfId="39" builtinId="8" hidden="1"/>
    <cellStyle name="Hyperlink" xfId="13" builtinId="8" hidden="1"/>
    <cellStyle name="Hyperlink" xfId="87" builtinId="8" hidden="1"/>
    <cellStyle name="Hyperlink" xfId="89" builtinId="8" hidden="1"/>
    <cellStyle name="Hyperlink" xfId="219" builtinId="8" hidden="1"/>
    <cellStyle name="Hyperlink" xfId="269" builtinId="8" hidden="1"/>
    <cellStyle name="Hyperlink" xfId="223" builtinId="8" hidden="1"/>
    <cellStyle name="Hyperlink" xfId="159" builtinId="8" hidden="1"/>
    <cellStyle name="Hyperlink" xfId="573" builtinId="8" hidden="1"/>
    <cellStyle name="Hyperlink" xfId="463" builtinId="8" hidden="1"/>
    <cellStyle name="Hyperlink" xfId="581" builtinId="8" hidden="1"/>
    <cellStyle name="Hyperlink" xfId="559" builtinId="8" hidden="1"/>
    <cellStyle name="Hyperlink" xfId="503" builtinId="8" hidden="1"/>
    <cellStyle name="Hyperlink" xfId="449" builtinId="8" hidden="1"/>
    <cellStyle name="Hyperlink" xfId="729" builtinId="8" hidden="1"/>
    <cellStyle name="Hyperlink" xfId="249" builtinId="8" hidden="1"/>
    <cellStyle name="Hyperlink" xfId="57" builtinId="8" hidden="1"/>
    <cellStyle name="Hyperlink" xfId="445" builtinId="8" hidden="1"/>
    <cellStyle name="Hyperlink" xfId="49" builtinId="8" hidden="1"/>
    <cellStyle name="Hyperlink" xfId="331" builtinId="8" hidden="1"/>
    <cellStyle name="Hyperlink" xfId="99" builtinId="8" hidden="1"/>
    <cellStyle name="Hyperlink" xfId="759" builtinId="8"/>
    <cellStyle name="Normal" xfId="0" builtinId="0"/>
    <cellStyle name="Normal 2" xfId="760" xr:uid="{2967E9A6-0056-4136-8206-815453C01649}"/>
    <cellStyle name="Normal 2 2" xfId="761" xr:uid="{2ACE3EE9-EE77-4545-9640-584DB7BEB06B}"/>
    <cellStyle name="Normal 4" xfId="762" xr:uid="{7F82DEA0-22D1-4295-9541-277362DFC8E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91328</xdr:colOff>
      <xdr:row>4</xdr:row>
      <xdr:rowOff>128681</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129171</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EG1090"/>
  <sheetViews>
    <sheetView showGridLines="0" tabSelected="1" view="pageBreakPreview" topLeftCell="A19" zoomScale="85" zoomScaleNormal="100" zoomScaleSheetLayoutView="100" zoomScalePageLayoutView="125" workbookViewId="0">
      <selection activeCell="I32" sqref="I32:AS32"/>
    </sheetView>
  </sheetViews>
  <sheetFormatPr defaultColWidth="10.83203125" defaultRowHeight="15.5" x14ac:dyDescent="0.35"/>
  <cols>
    <col min="1" max="1" width="2.83203125" style="1" customWidth="1"/>
    <col min="2" max="2" width="1.5" style="1" customWidth="1"/>
    <col min="3" max="3" width="2.33203125" style="1" customWidth="1"/>
    <col min="4" max="4" width="2" style="1" customWidth="1"/>
    <col min="5" max="5" width="1.5" style="1" customWidth="1"/>
    <col min="6" max="6" width="3.33203125" style="1" customWidth="1"/>
    <col min="7" max="8" width="2.83203125" style="1" customWidth="1"/>
    <col min="9" max="18" width="2.5" style="1" customWidth="1"/>
    <col min="19" max="19" width="2.83203125" style="1" customWidth="1"/>
    <col min="20" max="20" width="1" style="1" customWidth="1"/>
    <col min="21" max="32" width="2.5" style="1" customWidth="1"/>
    <col min="33" max="33" width="1.5" style="1" customWidth="1"/>
    <col min="34" max="34" width="2.83203125" style="1" customWidth="1"/>
    <col min="35" max="44" width="2.33203125" style="1" customWidth="1"/>
    <col min="45" max="55" width="2" style="1" customWidth="1"/>
    <col min="56" max="58" width="2.83203125" style="1" customWidth="1"/>
    <col min="59" max="59" width="1.5" style="1" customWidth="1"/>
    <col min="60" max="60" width="2.83203125" style="1" customWidth="1"/>
    <col min="61" max="67" width="1.5" style="1" customWidth="1"/>
    <col min="68" max="68" width="24.5" style="1" customWidth="1"/>
    <col min="69" max="12976" width="10.83203125" style="1"/>
    <col min="12977" max="12977" width="10.83203125" style="1" customWidth="1"/>
    <col min="12978" max="12978" width="7.5" style="1" hidden="1" customWidth="1"/>
    <col min="12979" max="12979" width="9" style="1" customWidth="1"/>
    <col min="12980" max="12981" width="7.5" style="1" customWidth="1"/>
    <col min="12982" max="16384" width="10.83203125" style="1"/>
  </cols>
  <sheetData>
    <row r="1" spans="1:68" ht="20" x14ac:dyDescent="0.4">
      <c r="B1" s="27"/>
      <c r="C1" s="27"/>
      <c r="D1" s="27"/>
      <c r="E1" s="27"/>
      <c r="F1" s="27"/>
      <c r="G1" s="27"/>
      <c r="H1" s="27"/>
      <c r="I1" s="27"/>
      <c r="J1" s="27"/>
      <c r="K1" s="27"/>
      <c r="L1" s="27"/>
      <c r="M1" s="27"/>
      <c r="N1" s="27"/>
      <c r="O1" s="27"/>
      <c r="P1" s="131" t="s">
        <v>5</v>
      </c>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27"/>
      <c r="BC1" s="27"/>
      <c r="BD1" s="27"/>
      <c r="BE1" s="27"/>
      <c r="BF1" s="27"/>
      <c r="BG1" s="27"/>
      <c r="BH1" s="99" t="s">
        <v>6</v>
      </c>
      <c r="BI1" s="99"/>
      <c r="BJ1" s="99"/>
      <c r="BK1" s="99"/>
      <c r="BL1" s="99"/>
      <c r="BM1" s="99"/>
      <c r="BN1" s="99"/>
      <c r="BO1" s="99"/>
    </row>
    <row r="2" spans="1:68" ht="20" x14ac:dyDescent="0.4">
      <c r="B2" s="27"/>
      <c r="C2" s="27"/>
      <c r="D2" s="27"/>
      <c r="E2" s="27"/>
      <c r="F2" s="27"/>
      <c r="G2" s="27"/>
      <c r="H2" s="27"/>
      <c r="I2" s="27"/>
      <c r="J2" s="27"/>
      <c r="K2" s="27"/>
      <c r="L2" s="27"/>
      <c r="M2" s="27"/>
      <c r="N2" s="27"/>
      <c r="O2" s="27"/>
      <c r="P2" s="131" t="s">
        <v>0</v>
      </c>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27"/>
      <c r="BC2" s="27"/>
      <c r="BD2" s="27"/>
      <c r="BE2" s="27"/>
      <c r="BF2" s="27"/>
      <c r="BG2" s="27"/>
      <c r="BH2" s="27"/>
      <c r="BI2" s="27"/>
      <c r="BJ2" s="27"/>
      <c r="BK2" s="27"/>
      <c r="BL2" s="27"/>
      <c r="BM2" s="27"/>
      <c r="BN2" s="27"/>
      <c r="BO2" s="27"/>
    </row>
    <row r="3" spans="1:68" ht="15" customHeight="1" x14ac:dyDescent="0.35">
      <c r="B3" s="28"/>
      <c r="C3" s="28"/>
      <c r="D3" s="28"/>
      <c r="E3" s="28"/>
      <c r="F3" s="28"/>
      <c r="G3" s="28"/>
      <c r="H3" s="28"/>
      <c r="I3" s="28"/>
      <c r="J3" s="28"/>
      <c r="K3" s="28"/>
      <c r="L3" s="28"/>
      <c r="M3" s="28"/>
      <c r="N3" s="28"/>
      <c r="O3" s="28"/>
      <c r="P3" s="132" t="s">
        <v>7</v>
      </c>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28"/>
      <c r="BC3" s="28"/>
      <c r="BD3" s="28"/>
      <c r="BE3" s="28"/>
      <c r="BF3" s="28"/>
      <c r="BG3" s="28"/>
      <c r="BH3" s="28"/>
      <c r="BI3" s="28"/>
      <c r="BJ3" s="28"/>
      <c r="BK3" s="28"/>
      <c r="BL3" s="28"/>
      <c r="BM3" s="28"/>
      <c r="BN3" s="28"/>
      <c r="BO3" s="28"/>
    </row>
    <row r="4" spans="1:68" ht="15" customHeight="1" x14ac:dyDescent="0.35">
      <c r="A4" s="28"/>
      <c r="B4" s="28"/>
      <c r="C4" s="28"/>
      <c r="D4" s="28"/>
      <c r="E4" s="28"/>
      <c r="F4" s="28"/>
      <c r="G4" s="28"/>
      <c r="H4" s="28"/>
      <c r="I4" s="28"/>
      <c r="J4" s="28"/>
      <c r="K4" s="28"/>
      <c r="L4" s="28"/>
      <c r="M4" s="28"/>
      <c r="N4" s="28"/>
      <c r="O4" s="28"/>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28"/>
      <c r="BC4" s="28"/>
      <c r="BD4" s="28"/>
      <c r="BE4" s="28"/>
      <c r="BF4" s="28"/>
      <c r="BG4" s="28"/>
      <c r="BH4" s="28"/>
      <c r="BI4" s="28"/>
      <c r="BJ4" s="28"/>
      <c r="BK4" s="28"/>
      <c r="BL4" s="28"/>
      <c r="BM4" s="28"/>
      <c r="BN4" s="28"/>
      <c r="BO4" s="28"/>
    </row>
    <row r="5" spans="1:68" ht="22.5" customHeight="1" x14ac:dyDescent="0.35">
      <c r="A5" s="28"/>
      <c r="B5" s="28"/>
      <c r="C5" s="28"/>
      <c r="D5" s="28"/>
      <c r="E5" s="28"/>
      <c r="F5" s="28"/>
      <c r="G5" s="28"/>
      <c r="H5" s="28"/>
      <c r="I5" s="28"/>
      <c r="J5" s="28"/>
      <c r="K5" s="28"/>
      <c r="L5" s="28"/>
      <c r="M5" s="28"/>
      <c r="N5" s="28"/>
      <c r="O5" s="28"/>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28"/>
      <c r="BC5" s="28"/>
      <c r="BD5" s="28"/>
      <c r="BE5" s="28"/>
      <c r="BF5" s="28"/>
      <c r="BG5" s="28"/>
      <c r="BH5" s="28"/>
      <c r="BI5" s="28"/>
      <c r="BJ5" s="28"/>
      <c r="BK5" s="28"/>
      <c r="BL5" s="28"/>
      <c r="BM5" s="28"/>
      <c r="BN5" s="28"/>
      <c r="BO5" s="28"/>
    </row>
    <row r="6" spans="1:68" x14ac:dyDescent="0.35">
      <c r="A6" s="120" t="s">
        <v>8</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row>
    <row r="7" spans="1:68" ht="3" customHeight="1" x14ac:dyDescent="0.35">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row>
    <row r="8" spans="1:68" x14ac:dyDescent="0.35">
      <c r="A8" s="111" t="s">
        <v>9</v>
      </c>
      <c r="B8" s="111"/>
      <c r="C8" s="111"/>
      <c r="D8" s="111"/>
      <c r="E8" s="111"/>
      <c r="F8" s="66" t="str">
        <f>IFERROR(VLOOKUP($C$9,#REF!,2,FALSE),"")</f>
        <v/>
      </c>
      <c r="G8" s="66"/>
      <c r="H8" s="66"/>
      <c r="I8" s="66"/>
      <c r="J8" s="66"/>
      <c r="K8" s="66"/>
      <c r="L8" s="66"/>
      <c r="M8" s="66"/>
      <c r="N8" s="66"/>
      <c r="O8" s="66"/>
      <c r="P8" s="66"/>
      <c r="Q8" s="66"/>
      <c r="R8" s="66"/>
      <c r="S8" s="66"/>
      <c r="T8" s="107" t="s">
        <v>10</v>
      </c>
      <c r="U8" s="107"/>
      <c r="V8" s="107"/>
      <c r="W8" s="107"/>
      <c r="X8" s="107"/>
      <c r="Y8" s="66" t="str">
        <f>IFERROR(VLOOKUP($C$9,#REF!,3,FALSE),"")</f>
        <v/>
      </c>
      <c r="Z8" s="66"/>
      <c r="AA8" s="66"/>
      <c r="AB8" s="66"/>
      <c r="AC8" s="66"/>
      <c r="AD8" s="66"/>
      <c r="AE8" s="66"/>
      <c r="AF8" s="66"/>
      <c r="AG8" s="66"/>
      <c r="AH8" s="66"/>
      <c r="AI8" s="66"/>
      <c r="AJ8" s="66"/>
      <c r="AK8" s="66"/>
      <c r="AL8" s="66"/>
      <c r="AM8" s="66"/>
      <c r="AN8" s="66"/>
      <c r="AO8" s="66"/>
      <c r="AP8" s="66"/>
      <c r="AQ8" s="66"/>
      <c r="AR8" s="66"/>
      <c r="AS8" s="107" t="s">
        <v>11</v>
      </c>
      <c r="AT8" s="107"/>
      <c r="AU8" s="107"/>
      <c r="AV8" s="107"/>
      <c r="AW8" s="107"/>
      <c r="AX8" s="107"/>
      <c r="AY8" s="107"/>
      <c r="AZ8" s="66" t="str">
        <f>IF(IFERROR(VLOOKUP($C$9,#REF!,4,FALSE),"")="","",IFERROR(VLOOKUP($C$9,#REF!,4,FALSE),""))</f>
        <v/>
      </c>
      <c r="BA8" s="66"/>
      <c r="BB8" s="66"/>
      <c r="BC8" s="66"/>
      <c r="BD8" s="66"/>
      <c r="BE8" s="66"/>
      <c r="BF8" s="66"/>
      <c r="BG8" s="66"/>
      <c r="BH8" s="66"/>
      <c r="BI8" s="66"/>
      <c r="BJ8" s="66"/>
      <c r="BK8" s="66"/>
      <c r="BL8" s="66"/>
      <c r="BM8" s="66"/>
      <c r="BN8" s="66"/>
      <c r="BO8" s="66"/>
      <c r="BP8" s="39"/>
    </row>
    <row r="9" spans="1:68" x14ac:dyDescent="0.35">
      <c r="A9" s="111" t="s">
        <v>12</v>
      </c>
      <c r="B9" s="111"/>
      <c r="C9" s="124" t="str">
        <f>IF(BP8="","",VLOOKUP(BP8,#REF!,3,FALSE))</f>
        <v/>
      </c>
      <c r="D9" s="124"/>
      <c r="E9" s="124"/>
      <c r="F9" s="124"/>
      <c r="G9" s="124"/>
      <c r="H9" s="124"/>
      <c r="I9" s="124"/>
      <c r="J9" s="124"/>
      <c r="K9" s="124"/>
      <c r="L9" s="124"/>
      <c r="M9" s="124"/>
      <c r="N9" s="124"/>
      <c r="O9" s="124"/>
      <c r="P9" s="124"/>
      <c r="Q9" s="124"/>
      <c r="R9" s="107" t="s">
        <v>13</v>
      </c>
      <c r="S9" s="107"/>
      <c r="T9" s="107"/>
      <c r="U9" s="107"/>
      <c r="V9" s="107"/>
      <c r="W9" s="107"/>
      <c r="X9" s="107"/>
      <c r="Y9" s="107"/>
      <c r="Z9" s="107"/>
      <c r="AA9" s="125" t="str">
        <f>IFERROR(VLOOKUP($C$9,#REF!,5,FALSE),"")</f>
        <v/>
      </c>
      <c r="AB9" s="125"/>
      <c r="AC9" s="125"/>
      <c r="AD9" s="125"/>
      <c r="AE9" s="125"/>
      <c r="AF9" s="125"/>
      <c r="AG9" s="125"/>
      <c r="AH9" s="125"/>
      <c r="AI9" s="125"/>
      <c r="AJ9" s="125"/>
      <c r="AK9" s="125"/>
      <c r="AL9" s="68" t="s">
        <v>1</v>
      </c>
      <c r="AM9" s="68"/>
      <c r="AN9" s="100" t="str">
        <f>IFERROR(VLOOKUP($C$9,#REF!,7,FALSE),"")</f>
        <v/>
      </c>
      <c r="AO9" s="100"/>
      <c r="AP9" s="100"/>
      <c r="AQ9" s="100"/>
      <c r="AR9" s="100"/>
      <c r="AS9" s="107" t="s">
        <v>14</v>
      </c>
      <c r="AT9" s="107"/>
      <c r="AU9" s="107"/>
      <c r="AV9" s="107"/>
      <c r="AW9" s="107"/>
      <c r="AX9" s="107"/>
      <c r="AY9" s="107"/>
      <c r="AZ9" s="107"/>
      <c r="BA9" s="107"/>
      <c r="BB9" s="107"/>
      <c r="BC9" s="107"/>
      <c r="BD9" s="107"/>
      <c r="BE9" s="107"/>
      <c r="BF9" s="107"/>
      <c r="BG9" s="107"/>
      <c r="BH9" s="126" t="str">
        <f>IFERROR(VLOOKUP($C$9,#REF!,8,FALSE),"")</f>
        <v/>
      </c>
      <c r="BI9" s="126"/>
      <c r="BJ9" s="126"/>
      <c r="BK9" s="126"/>
      <c r="BL9" s="126"/>
      <c r="BM9" s="126"/>
      <c r="BN9" s="126"/>
      <c r="BO9" s="126"/>
      <c r="BP9" s="38"/>
    </row>
    <row r="10" spans="1:68" ht="9" customHeight="1" x14ac:dyDescent="0.35">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row>
    <row r="11" spans="1:68" x14ac:dyDescent="0.35">
      <c r="A11" s="120" t="s">
        <v>15</v>
      </c>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row>
    <row r="12" spans="1:68" ht="4.5" customHeight="1" x14ac:dyDescent="0.35">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row>
    <row r="13" spans="1:68" x14ac:dyDescent="0.35">
      <c r="A13" s="26" t="str">
        <f>IF(N13="","","⁄")</f>
        <v/>
      </c>
      <c r="B13" s="30" t="s">
        <v>16</v>
      </c>
      <c r="K13" s="31" t="s">
        <v>17</v>
      </c>
      <c r="L13" s="31"/>
      <c r="M13" s="31"/>
      <c r="N13" s="108" t="str">
        <f>IFERROR(IF(VLOOKUP($C$9,#REF!,21,FALSE)="","",VLOOKUP($C$9,#REF!,21,FALSE)),"")</f>
        <v/>
      </c>
      <c r="O13" s="108"/>
      <c r="P13" s="108"/>
      <c r="S13" s="26" t="str">
        <f>IF(AH13="","","⁄")</f>
        <v/>
      </c>
      <c r="T13" s="30" t="s">
        <v>18</v>
      </c>
      <c r="AD13" s="31" t="s">
        <v>17</v>
      </c>
      <c r="AE13" s="31"/>
      <c r="AF13" s="31"/>
      <c r="AH13" s="124" t="str">
        <f>IFERROR(IF(VLOOKUP($C$9,#REF!,22,FALSE)="","",VLOOKUP($C$9,#REF!,22,FALSE)),"")</f>
        <v/>
      </c>
      <c r="AI13" s="124"/>
      <c r="AJ13" s="124"/>
    </row>
    <row r="14" spans="1:68" x14ac:dyDescent="0.35">
      <c r="A14" s="1" t="s">
        <v>19</v>
      </c>
      <c r="B14" s="31"/>
      <c r="C14" s="31"/>
      <c r="D14" s="33"/>
      <c r="E14" s="33"/>
      <c r="F14" s="33"/>
      <c r="G14" s="33"/>
      <c r="P14" s="127" t="str">
        <f>IFERROR(IF(VLOOKUP($C$9,#REF!,23,FALSE)="","",VLOOKUP($C$9,#REF!,23,FALSE)),"")</f>
        <v/>
      </c>
      <c r="Q14" s="127"/>
      <c r="R14" s="127"/>
      <c r="S14" s="127"/>
      <c r="U14" s="32" t="s">
        <v>20</v>
      </c>
      <c r="V14" s="34"/>
      <c r="W14" s="34"/>
      <c r="X14" s="34"/>
      <c r="Y14" s="34"/>
      <c r="Z14" s="66" t="str">
        <f>IFERROR(IF(VLOOKUP($C$9,#REF!,24,FALSE)="","",VLOOKUP($C$9,#REF!,24,FALSE)),"")</f>
        <v/>
      </c>
      <c r="AA14" s="66"/>
      <c r="AB14" s="66"/>
      <c r="AC14" s="66"/>
      <c r="AD14" s="66"/>
      <c r="AE14" s="66"/>
      <c r="AF14" s="66"/>
      <c r="AG14" s="66"/>
      <c r="AH14" s="66"/>
      <c r="AI14" s="66"/>
      <c r="AJ14" s="66"/>
      <c r="AK14" s="66"/>
      <c r="AL14" s="66"/>
      <c r="AM14" s="66"/>
      <c r="AN14" s="66"/>
      <c r="AO14" s="66"/>
      <c r="AP14" s="66"/>
      <c r="AQ14" s="1" t="s">
        <v>21</v>
      </c>
      <c r="AR14" s="35"/>
      <c r="AS14" s="35"/>
      <c r="AW14" s="66" t="str">
        <f>IFERROR(IF(VLOOKUP($C$9,#REF!,25,FALSE)="","",VLOOKUP($C$9,#REF!,25,FALSE)),"")</f>
        <v/>
      </c>
      <c r="AX14" s="66"/>
      <c r="AY14" s="66"/>
      <c r="AZ14" s="66"/>
      <c r="BA14" s="66"/>
      <c r="BB14" s="66"/>
      <c r="BC14" s="66"/>
      <c r="BD14" s="66"/>
      <c r="BE14" s="66"/>
      <c r="BF14" s="66"/>
      <c r="BG14" s="66"/>
      <c r="BH14" s="66"/>
      <c r="BI14" s="66"/>
      <c r="BJ14" s="66"/>
      <c r="BK14" s="66"/>
      <c r="BL14" s="66"/>
      <c r="BM14" s="66"/>
      <c r="BN14" s="66"/>
      <c r="BO14" s="66"/>
    </row>
    <row r="15" spans="1:68" ht="3" customHeight="1" x14ac:dyDescent="0.35">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row>
    <row r="16" spans="1:68" x14ac:dyDescent="0.35">
      <c r="A16" s="26" t="str">
        <f>IF(K16="","","⁄")</f>
        <v/>
      </c>
      <c r="B16" s="134" t="s">
        <v>22</v>
      </c>
      <c r="C16" s="111"/>
      <c r="D16" s="111"/>
      <c r="E16" s="111"/>
      <c r="F16" s="111"/>
      <c r="G16" s="111"/>
      <c r="H16" s="107" t="s">
        <v>23</v>
      </c>
      <c r="I16" s="107"/>
      <c r="J16" s="107"/>
      <c r="K16" s="108" t="str">
        <f>IFERROR(IF(VLOOKUP($C$9,#REF!,26,FALSE)="","",VLOOKUP($C$9,#REF!,26,FALSE)),"")</f>
        <v/>
      </c>
      <c r="L16" s="108"/>
      <c r="M16" s="108"/>
      <c r="N16" s="108"/>
      <c r="S16" s="26" t="str">
        <f>IF(AN17="","","⁄")</f>
        <v/>
      </c>
      <c r="T16" s="30" t="s">
        <v>24</v>
      </c>
      <c r="Z16" s="107" t="s">
        <v>23</v>
      </c>
      <c r="AA16" s="107"/>
      <c r="AB16" s="107"/>
      <c r="AC16" s="108" t="str">
        <f>IFERROR(IF(VLOOKUP($C$9,#REF!,28,FALSE)="","",VLOOKUP($C$9,#REF!,28,FALSE)),"")</f>
        <v/>
      </c>
      <c r="AD16" s="108"/>
      <c r="AE16" s="108"/>
      <c r="AF16" s="108"/>
      <c r="AH16" s="26"/>
      <c r="AI16" s="1" t="s">
        <v>25</v>
      </c>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row>
    <row r="17" spans="1:67" x14ac:dyDescent="0.35">
      <c r="A17" s="1" t="s">
        <v>26</v>
      </c>
      <c r="P17" s="127" t="str">
        <f>IFERROR(IF(VLOOKUP($C$9,#REF!,27,FALSE)="","",VLOOKUP($C$9,#REF!,27,FALSE)),"")</f>
        <v/>
      </c>
      <c r="Q17" s="127"/>
      <c r="R17" s="127"/>
      <c r="S17" s="127"/>
      <c r="T17" s="127"/>
      <c r="U17" s="127"/>
      <c r="W17" s="107" t="s">
        <v>27</v>
      </c>
      <c r="X17" s="107"/>
      <c r="Y17" s="107"/>
      <c r="Z17" s="107"/>
      <c r="AA17" s="107"/>
      <c r="AB17" s="107"/>
      <c r="AC17" s="107"/>
      <c r="AD17" s="107"/>
      <c r="AE17" s="107"/>
      <c r="AF17" s="107"/>
      <c r="AG17" s="107"/>
      <c r="AH17" s="107"/>
      <c r="AI17" s="107"/>
      <c r="AJ17" s="107"/>
      <c r="AK17" s="107"/>
      <c r="AL17" s="107"/>
      <c r="AM17" s="107"/>
      <c r="AN17" s="100" t="str">
        <f>IFERROR(IF(VLOOKUP($C$9,#REF!,29,FALSE)="","",VLOOKUP($C$9,#REF!,29,FALSE)),"")</f>
        <v/>
      </c>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row>
    <row r="18" spans="1:67" ht="13.5" customHeight="1" x14ac:dyDescent="0.35">
      <c r="A18" s="36" t="s">
        <v>28</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t="s">
        <v>29</v>
      </c>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row>
    <row r="19" spans="1:67" ht="13.5" customHeight="1" x14ac:dyDescent="0.35">
      <c r="A19" s="36" t="s">
        <v>30</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row>
    <row r="20" spans="1:67" ht="2.25" customHeight="1" x14ac:dyDescent="0.35">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row>
    <row r="21" spans="1:67" x14ac:dyDescent="0.35">
      <c r="A21" s="120" t="s">
        <v>31</v>
      </c>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row>
    <row r="22" spans="1:67" ht="3" customHeight="1" x14ac:dyDescent="0.35">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row>
    <row r="23" spans="1:67" x14ac:dyDescent="0.35">
      <c r="A23" s="67" t="s">
        <v>32</v>
      </c>
      <c r="B23" s="67"/>
      <c r="C23" s="67"/>
      <c r="D23" s="67"/>
      <c r="E23" s="100" t="str">
        <f>IFERROR(IF(VLOOKUP($C$9,#REF!,30,FALSE)="","",VLOOKUP($C$9,#REF!,30,FALSE)),"")</f>
        <v/>
      </c>
      <c r="F23" s="100"/>
      <c r="G23" s="100"/>
      <c r="H23" s="100"/>
      <c r="I23" s="100"/>
      <c r="J23" s="100"/>
      <c r="K23" s="100"/>
      <c r="L23" s="100"/>
      <c r="M23" s="100"/>
      <c r="N23" s="100"/>
      <c r="O23" s="100"/>
      <c r="P23" s="100"/>
      <c r="Q23" s="100"/>
      <c r="R23" s="100"/>
      <c r="S23" s="100"/>
      <c r="T23" s="100"/>
      <c r="U23" s="100"/>
      <c r="V23" s="100"/>
      <c r="W23" s="100"/>
      <c r="X23" s="100"/>
      <c r="Y23" s="100"/>
      <c r="Z23" s="100"/>
      <c r="AA23" s="100"/>
      <c r="AB23" s="65" t="s">
        <v>33</v>
      </c>
      <c r="AC23" s="65"/>
      <c r="AD23" s="65"/>
      <c r="AE23" s="65"/>
      <c r="AF23" s="100" t="str">
        <f>IFERROR(IF(VLOOKUP($C$9,#REF!,31,FALSE)="","",VLOOKUP($C$9,#REF!,31,FALSE)),"")</f>
        <v/>
      </c>
      <c r="AG23" s="100"/>
      <c r="AH23" s="100"/>
      <c r="AI23" s="100"/>
      <c r="AJ23" s="100"/>
      <c r="AK23" s="100"/>
      <c r="AL23" s="100"/>
      <c r="AM23" s="67" t="s">
        <v>34</v>
      </c>
      <c r="AN23" s="67"/>
      <c r="AO23" s="67"/>
      <c r="AP23" s="67"/>
      <c r="AQ23" s="67"/>
      <c r="AR23" s="67"/>
      <c r="AS23" s="100" t="str">
        <f>IFERROR(IF(VLOOKUP($C$9,#REF!,32,FALSE)="","",VLOOKUP($C$9,#REF!,32,FALSE)),"")</f>
        <v/>
      </c>
      <c r="AT23" s="100"/>
      <c r="AU23" s="100"/>
      <c r="AV23" s="100"/>
      <c r="AW23" s="100"/>
      <c r="AX23" s="100"/>
      <c r="AY23" s="67" t="s">
        <v>35</v>
      </c>
      <c r="AZ23" s="67"/>
      <c r="BA23" s="100" t="str">
        <f>IFERROR(IF(VLOOKUP($C$9,#REF!,33,FALSE)="","",VLOOKUP($C$9,#REF!,33,FALSE)),"")</f>
        <v/>
      </c>
      <c r="BB23" s="100"/>
      <c r="BC23" s="100"/>
      <c r="BD23" s="100"/>
      <c r="BE23" s="100"/>
      <c r="BF23" s="100"/>
      <c r="BG23" s="100"/>
      <c r="BH23" s="65" t="s">
        <v>36</v>
      </c>
      <c r="BI23" s="65"/>
      <c r="BJ23" s="65"/>
      <c r="BK23" s="100" t="str">
        <f>IFERROR(IF(VLOOKUP($C$9,#REF!,36,FALSE)="","",VLOOKUP($C$9,#REF!,36,FALSE)),"")</f>
        <v/>
      </c>
      <c r="BL23" s="100"/>
      <c r="BM23" s="100"/>
      <c r="BN23" s="100"/>
      <c r="BO23" s="100"/>
    </row>
    <row r="24" spans="1:67" ht="3" customHeight="1" x14ac:dyDescent="0.35">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5">
      <c r="A25" s="67" t="s">
        <v>37</v>
      </c>
      <c r="B25" s="67"/>
      <c r="C25" s="67"/>
      <c r="D25" s="67"/>
      <c r="E25" s="67"/>
      <c r="F25" s="67"/>
      <c r="G25" s="100" t="str">
        <f>IFERROR(IF(VLOOKUP($C$9,#REF!,34,FALSE)="","",VLOOKUP($C$9,#REF!,34,FALSE)),"")</f>
        <v/>
      </c>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65" t="s">
        <v>38</v>
      </c>
      <c r="AO25" s="65"/>
      <c r="AP25" s="65"/>
      <c r="AQ25" s="65"/>
      <c r="AR25" s="65"/>
      <c r="AS25" s="100" t="str">
        <f>IFERROR(IF(VLOOKUP($C$9,#REF!,35,FALSE)="","",VLOOKUP($C$9,#REF!,35,FALSE)),"")</f>
        <v/>
      </c>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row>
    <row r="26" spans="1:67" ht="3" customHeight="1" thickBot="1" x14ac:dyDescent="0.4">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row>
    <row r="27" spans="1:67" ht="12" customHeight="1" x14ac:dyDescent="0.35">
      <c r="A27" s="50" t="s">
        <v>39</v>
      </c>
      <c r="B27" s="51"/>
      <c r="C27" s="51"/>
      <c r="D27" s="51"/>
      <c r="E27" s="51"/>
      <c r="F27" s="51"/>
      <c r="G27" s="51"/>
      <c r="H27" s="52"/>
      <c r="I27" s="56" t="s">
        <v>3</v>
      </c>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8"/>
      <c r="AT27" s="112" t="s">
        <v>4</v>
      </c>
      <c r="AU27" s="112"/>
      <c r="AV27" s="112"/>
      <c r="AW27" s="112"/>
      <c r="AX27" s="112"/>
      <c r="AY27" s="112"/>
      <c r="AZ27" s="112"/>
      <c r="BA27" s="112"/>
      <c r="BB27" s="112"/>
      <c r="BC27" s="112"/>
      <c r="BD27" s="135" t="s">
        <v>40</v>
      </c>
      <c r="BE27" s="135"/>
      <c r="BF27" s="135"/>
      <c r="BG27" s="135"/>
      <c r="BH27" s="135"/>
      <c r="BI27" s="135" t="s">
        <v>41</v>
      </c>
      <c r="BJ27" s="135"/>
      <c r="BK27" s="135"/>
      <c r="BL27" s="135"/>
      <c r="BM27" s="135"/>
      <c r="BN27" s="135"/>
      <c r="BO27" s="136"/>
    </row>
    <row r="28" spans="1:67" ht="12" customHeight="1" x14ac:dyDescent="0.35">
      <c r="A28" s="50"/>
      <c r="B28" s="51"/>
      <c r="C28" s="51"/>
      <c r="D28" s="51"/>
      <c r="E28" s="51"/>
      <c r="F28" s="51"/>
      <c r="G28" s="51"/>
      <c r="H28" s="52"/>
      <c r="I28" s="59"/>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1"/>
      <c r="AT28" s="109"/>
      <c r="AU28" s="109"/>
      <c r="AV28" s="109"/>
      <c r="AW28" s="109"/>
      <c r="AX28" s="109"/>
      <c r="AY28" s="109"/>
      <c r="AZ28" s="109"/>
      <c r="BA28" s="109"/>
      <c r="BB28" s="109"/>
      <c r="BC28" s="109"/>
      <c r="BD28" s="44"/>
      <c r="BE28" s="44"/>
      <c r="BF28" s="44"/>
      <c r="BG28" s="44"/>
      <c r="BH28" s="44"/>
      <c r="BI28" s="44"/>
      <c r="BJ28" s="44"/>
      <c r="BK28" s="44"/>
      <c r="BL28" s="44"/>
      <c r="BM28" s="44"/>
      <c r="BN28" s="44"/>
      <c r="BO28" s="46"/>
    </row>
    <row r="29" spans="1:67" ht="12" customHeight="1" x14ac:dyDescent="0.35">
      <c r="A29" s="50"/>
      <c r="B29" s="51"/>
      <c r="C29" s="51"/>
      <c r="D29" s="51"/>
      <c r="E29" s="51"/>
      <c r="F29" s="51"/>
      <c r="G29" s="51"/>
      <c r="H29" s="52"/>
      <c r="I29" s="59"/>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1"/>
      <c r="AT29" s="109" t="str">
        <f>IF(BK23="","",IF(BK23="1ST","1ST",IF(BK23="2ND","3RD")))</f>
        <v/>
      </c>
      <c r="AU29" s="109"/>
      <c r="AV29" s="109"/>
      <c r="AW29" s="109"/>
      <c r="AX29" s="109"/>
      <c r="AY29" s="109" t="str">
        <f>IF(BK23="","",IF(BK23="1ST","2ND",IF(BK23="2ND","4TH")))</f>
        <v/>
      </c>
      <c r="AZ29" s="109"/>
      <c r="BA29" s="109"/>
      <c r="BB29" s="109"/>
      <c r="BC29" s="109"/>
      <c r="BD29" s="44"/>
      <c r="BE29" s="44"/>
      <c r="BF29" s="44"/>
      <c r="BG29" s="44"/>
      <c r="BH29" s="44"/>
      <c r="BI29" s="44"/>
      <c r="BJ29" s="44"/>
      <c r="BK29" s="44"/>
      <c r="BL29" s="44"/>
      <c r="BM29" s="44"/>
      <c r="BN29" s="44"/>
      <c r="BO29" s="46"/>
    </row>
    <row r="30" spans="1:67" ht="12" customHeight="1" x14ac:dyDescent="0.35">
      <c r="A30" s="53"/>
      <c r="B30" s="54"/>
      <c r="C30" s="54"/>
      <c r="D30" s="54"/>
      <c r="E30" s="54"/>
      <c r="F30" s="54"/>
      <c r="G30" s="54"/>
      <c r="H30" s="55"/>
      <c r="I30" s="62"/>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4"/>
      <c r="AT30" s="109"/>
      <c r="AU30" s="109"/>
      <c r="AV30" s="109"/>
      <c r="AW30" s="109"/>
      <c r="AX30" s="109"/>
      <c r="AY30" s="109"/>
      <c r="AZ30" s="109"/>
      <c r="BA30" s="109"/>
      <c r="BB30" s="109"/>
      <c r="BC30" s="109"/>
      <c r="BD30" s="44"/>
      <c r="BE30" s="44"/>
      <c r="BF30" s="44"/>
      <c r="BG30" s="44"/>
      <c r="BH30" s="44"/>
      <c r="BI30" s="44"/>
      <c r="BJ30" s="44"/>
      <c r="BK30" s="44"/>
      <c r="BL30" s="44"/>
      <c r="BM30" s="44"/>
      <c r="BN30" s="44"/>
      <c r="BO30" s="46"/>
    </row>
    <row r="31" spans="1:67" ht="20.25" customHeight="1" x14ac:dyDescent="0.35">
      <c r="A31" s="69" t="str">
        <f>IFERROR(VLOOKUP(I31,#REF!,2,FALSE),"")</f>
        <v/>
      </c>
      <c r="B31" s="70"/>
      <c r="C31" s="70"/>
      <c r="D31" s="70"/>
      <c r="E31" s="70"/>
      <c r="F31" s="70"/>
      <c r="G31" s="70"/>
      <c r="H31" s="71"/>
      <c r="I31" s="75" t="str">
        <f>IFERROR(IF(VLOOKUP($C$9,#REF!,37,FALSE)="","",VLOOKUP($C$9,#REF!,37,FALSE)),"")</f>
        <v/>
      </c>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7"/>
      <c r="AT31" s="72" t="str">
        <f>IFERROR(IF(VLOOKUP($C$9,#REF!,38,FALSE)="","",VLOOKUP($C$9,#REF!,38,FALSE)),"")</f>
        <v/>
      </c>
      <c r="AU31" s="72"/>
      <c r="AV31" s="72"/>
      <c r="AW31" s="72"/>
      <c r="AX31" s="72"/>
      <c r="AY31" s="72" t="str">
        <f>IFERROR(IF(VLOOKUP($C$9,#REF!,39,FALSE)="","",VLOOKUP($C$9,#REF!,39,FALSE)),"")</f>
        <v/>
      </c>
      <c r="AZ31" s="72"/>
      <c r="BA31" s="72"/>
      <c r="BB31" s="72"/>
      <c r="BC31" s="72"/>
      <c r="BD31" s="73" t="str">
        <f>IF(OR(AT31="",AY31=""),"",IF(ISERROR(ROUND(AVERAGE(AT31,AY31),0)),"",ROUND(AVERAGE(AT31,AY31),0)))</f>
        <v/>
      </c>
      <c r="BE31" s="73"/>
      <c r="BF31" s="73"/>
      <c r="BG31" s="73"/>
      <c r="BH31" s="73"/>
      <c r="BI31" s="73" t="str">
        <f>IF(OR(AT31="",AY31="",BD31=""),"",IF(BD31&gt;=75,"PASSED","FAILED"))</f>
        <v/>
      </c>
      <c r="BJ31" s="73"/>
      <c r="BK31" s="73"/>
      <c r="BL31" s="73"/>
      <c r="BM31" s="73"/>
      <c r="BN31" s="73"/>
      <c r="BO31" s="74"/>
    </row>
    <row r="32" spans="1:67" ht="20.25" customHeight="1" x14ac:dyDescent="0.35">
      <c r="A32" s="69" t="str">
        <f>IFERROR(VLOOKUP(I32,#REF!,2,FALSE),"")</f>
        <v/>
      </c>
      <c r="B32" s="70"/>
      <c r="C32" s="70"/>
      <c r="D32" s="70"/>
      <c r="E32" s="70"/>
      <c r="F32" s="70"/>
      <c r="G32" s="70"/>
      <c r="H32" s="71"/>
      <c r="I32" s="75" t="str">
        <f>IFERROR(IF(VLOOKUP($C$9,#REF!,41,FALSE)="","",VLOOKUP($C$9,#REF!,41,FALSE)),"")</f>
        <v/>
      </c>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7"/>
      <c r="AT32" s="72" t="str">
        <f>IFERROR(IF(VLOOKUP($C$9,#REF!,42,FALSE)="","",VLOOKUP($C$9,#REF!,42,FALSE)),"")</f>
        <v/>
      </c>
      <c r="AU32" s="72"/>
      <c r="AV32" s="72"/>
      <c r="AW32" s="72"/>
      <c r="AX32" s="72"/>
      <c r="AY32" s="72" t="str">
        <f>IFERROR(IF(VLOOKUP($C$9,#REF!,43,FALSE)="","",VLOOKUP($C$9,#REF!,43,FALSE)),"")</f>
        <v/>
      </c>
      <c r="AZ32" s="72"/>
      <c r="BA32" s="72"/>
      <c r="BB32" s="72"/>
      <c r="BC32" s="72"/>
      <c r="BD32" s="92" t="str">
        <f>IF(OR(AT32="",AY32=""),"",IF(ISERROR(ROUND(AVERAGE(AT32,AY32),0)),"",ROUND(AVERAGE(AT32,AY32),0)))</f>
        <v/>
      </c>
      <c r="BE32" s="93"/>
      <c r="BF32" s="93"/>
      <c r="BG32" s="93"/>
      <c r="BH32" s="94"/>
      <c r="BI32" s="92" t="str">
        <f t="shared" ref="BI32:BI42" si="0">IF(OR(AT32="",AY32="",BD32=""),"",IF(BD32&gt;=75,"PASSED","FAILED"))</f>
        <v/>
      </c>
      <c r="BJ32" s="93"/>
      <c r="BK32" s="93"/>
      <c r="BL32" s="93"/>
      <c r="BM32" s="93"/>
      <c r="BN32" s="93"/>
      <c r="BO32" s="123"/>
    </row>
    <row r="33" spans="1:67" ht="20.25" customHeight="1" x14ac:dyDescent="0.35">
      <c r="A33" s="69" t="str">
        <f>IFERROR(VLOOKUP(I33,#REF!,2,FALSE),"")</f>
        <v/>
      </c>
      <c r="B33" s="70"/>
      <c r="C33" s="70"/>
      <c r="D33" s="70"/>
      <c r="E33" s="70"/>
      <c r="F33" s="70"/>
      <c r="G33" s="70"/>
      <c r="H33" s="71"/>
      <c r="I33" s="75" t="str">
        <f>IFERROR(IF(VLOOKUP($C$9,#REF!,45,FALSE)="","",VLOOKUP($C$9,#REF!,45,FALSE)),"")</f>
        <v/>
      </c>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7"/>
      <c r="AT33" s="95" t="str">
        <f>IFERROR(IF(VLOOKUP($C$9,#REF!,46,FALSE)="","",VLOOKUP($C$9,#REF!,46,FALSE)),"")</f>
        <v/>
      </c>
      <c r="AU33" s="70"/>
      <c r="AV33" s="70"/>
      <c r="AW33" s="70"/>
      <c r="AX33" s="71"/>
      <c r="AY33" s="72" t="str">
        <f>IFERROR(IF(VLOOKUP($C$9,#REF!,47,FALSE)="","",VLOOKUP($C$9,#REF!,47,FALSE)),"")</f>
        <v/>
      </c>
      <c r="AZ33" s="72"/>
      <c r="BA33" s="72"/>
      <c r="BB33" s="72"/>
      <c r="BC33" s="72"/>
      <c r="BD33" s="92" t="str">
        <f t="shared" ref="BD33:BD42" si="1">IF(OR(AT33="",AY33=""),"",IF(ISERROR(ROUND(AVERAGE(AT33,AY33),0)),"",ROUND(AVERAGE(AT33,AY33),0)))</f>
        <v/>
      </c>
      <c r="BE33" s="93"/>
      <c r="BF33" s="93"/>
      <c r="BG33" s="93"/>
      <c r="BH33" s="94"/>
      <c r="BI33" s="92" t="str">
        <f t="shared" si="0"/>
        <v/>
      </c>
      <c r="BJ33" s="93"/>
      <c r="BK33" s="93"/>
      <c r="BL33" s="93"/>
      <c r="BM33" s="93"/>
      <c r="BN33" s="93"/>
      <c r="BO33" s="123"/>
    </row>
    <row r="34" spans="1:67" ht="20.25" customHeight="1" x14ac:dyDescent="0.35">
      <c r="A34" s="69" t="str">
        <f>IFERROR(VLOOKUP(I34,#REF!,2,FALSE),"")</f>
        <v/>
      </c>
      <c r="B34" s="70"/>
      <c r="C34" s="70"/>
      <c r="D34" s="70"/>
      <c r="E34" s="70"/>
      <c r="F34" s="70"/>
      <c r="G34" s="70"/>
      <c r="H34" s="71"/>
      <c r="I34" s="75" t="str">
        <f>IFERROR(IF(VLOOKUP($C$9,#REF!,49,FALSE)="","",VLOOKUP($C$9,#REF!,49,FALSE)),"")</f>
        <v/>
      </c>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7"/>
      <c r="AT34" s="72" t="str">
        <f>IFERROR(IF(VLOOKUP($C$9,#REF!,50,FALSE)="","",VLOOKUP($C$9,#REF!,50,FALSE)),"")</f>
        <v/>
      </c>
      <c r="AU34" s="72"/>
      <c r="AV34" s="72"/>
      <c r="AW34" s="72"/>
      <c r="AX34" s="72"/>
      <c r="AY34" s="72" t="str">
        <f>IFERROR(IF(VLOOKUP($C$9,#REF!,51,FALSE)="","",VLOOKUP($C$9,#REF!,51,FALSE)),"")</f>
        <v/>
      </c>
      <c r="AZ34" s="72"/>
      <c r="BA34" s="72"/>
      <c r="BB34" s="72"/>
      <c r="BC34" s="72"/>
      <c r="BD34" s="92" t="str">
        <f t="shared" si="1"/>
        <v/>
      </c>
      <c r="BE34" s="93"/>
      <c r="BF34" s="93"/>
      <c r="BG34" s="93"/>
      <c r="BH34" s="94"/>
      <c r="BI34" s="92" t="str">
        <f t="shared" si="0"/>
        <v/>
      </c>
      <c r="BJ34" s="93"/>
      <c r="BK34" s="93"/>
      <c r="BL34" s="93"/>
      <c r="BM34" s="93"/>
      <c r="BN34" s="93"/>
      <c r="BO34" s="123"/>
    </row>
    <row r="35" spans="1:67" ht="20.25" customHeight="1" x14ac:dyDescent="0.35">
      <c r="A35" s="69" t="str">
        <f>IFERROR(VLOOKUP(I35,#REF!,2,FALSE),"")</f>
        <v/>
      </c>
      <c r="B35" s="70"/>
      <c r="C35" s="70"/>
      <c r="D35" s="70"/>
      <c r="E35" s="70"/>
      <c r="F35" s="70"/>
      <c r="G35" s="70"/>
      <c r="H35" s="71"/>
      <c r="I35" s="75" t="str">
        <f>IFERROR(IF(VLOOKUP($C$9,#REF!,53,FALSE)="","",VLOOKUP($C$9,#REF!,53,FALSE)),"")</f>
        <v/>
      </c>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7"/>
      <c r="AT35" s="72" t="str">
        <f>IFERROR(IF(VLOOKUP($C$9,#REF!,54,FALSE)="","",VLOOKUP($C$9,#REF!,54,FALSE)),"")</f>
        <v/>
      </c>
      <c r="AU35" s="72"/>
      <c r="AV35" s="72"/>
      <c r="AW35" s="72"/>
      <c r="AX35" s="72"/>
      <c r="AY35" s="72" t="str">
        <f>IFERROR(IF(VLOOKUP($C$9,#REF!,55,FALSE)="","",VLOOKUP($C$9,#REF!,55,FALSE)),"")</f>
        <v/>
      </c>
      <c r="AZ35" s="72"/>
      <c r="BA35" s="72"/>
      <c r="BB35" s="72"/>
      <c r="BC35" s="72"/>
      <c r="BD35" s="92" t="str">
        <f t="shared" si="1"/>
        <v/>
      </c>
      <c r="BE35" s="93"/>
      <c r="BF35" s="93"/>
      <c r="BG35" s="93"/>
      <c r="BH35" s="94"/>
      <c r="BI35" s="92" t="str">
        <f t="shared" si="0"/>
        <v/>
      </c>
      <c r="BJ35" s="93"/>
      <c r="BK35" s="93"/>
      <c r="BL35" s="93"/>
      <c r="BM35" s="93"/>
      <c r="BN35" s="93"/>
      <c r="BO35" s="123"/>
    </row>
    <row r="36" spans="1:67" ht="20.25" customHeight="1" x14ac:dyDescent="0.35">
      <c r="A36" s="69" t="str">
        <f>IFERROR(VLOOKUP(I36,#REF!,2,FALSE),"")</f>
        <v/>
      </c>
      <c r="B36" s="70"/>
      <c r="C36" s="70"/>
      <c r="D36" s="70"/>
      <c r="E36" s="70"/>
      <c r="F36" s="70"/>
      <c r="G36" s="70"/>
      <c r="H36" s="71"/>
      <c r="I36" s="75" t="str">
        <f>IFERROR(IF(VLOOKUP($C$9,#REF!,57,FALSE)="","",VLOOKUP($C$9,#REF!,57,FALSE)),"")</f>
        <v/>
      </c>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7"/>
      <c r="AT36" s="110" t="str">
        <f>IFERROR(IF(VLOOKUP($C$9,#REF!,58,FALSE)="","",VLOOKUP($C$9,#REF!,58,FALSE)),"")</f>
        <v/>
      </c>
      <c r="AU36" s="110"/>
      <c r="AV36" s="110"/>
      <c r="AW36" s="110"/>
      <c r="AX36" s="110"/>
      <c r="AY36" s="110" t="str">
        <f>IFERROR(IF(VLOOKUP($C$9,#REF!,59,FALSE)="","",VLOOKUP($C$9,#REF!,59,FALSE)),"")</f>
        <v/>
      </c>
      <c r="AZ36" s="110"/>
      <c r="BA36" s="110"/>
      <c r="BB36" s="110"/>
      <c r="BC36" s="110"/>
      <c r="BD36" s="92" t="str">
        <f t="shared" si="1"/>
        <v/>
      </c>
      <c r="BE36" s="93"/>
      <c r="BF36" s="93"/>
      <c r="BG36" s="93"/>
      <c r="BH36" s="94"/>
      <c r="BI36" s="92" t="str">
        <f t="shared" si="0"/>
        <v/>
      </c>
      <c r="BJ36" s="93"/>
      <c r="BK36" s="93"/>
      <c r="BL36" s="93"/>
      <c r="BM36" s="93"/>
      <c r="BN36" s="93"/>
      <c r="BO36" s="123"/>
    </row>
    <row r="37" spans="1:67" ht="20.25" customHeight="1" x14ac:dyDescent="0.35">
      <c r="A37" s="69" t="str">
        <f>IFERROR(VLOOKUP(I37,#REF!,2,FALSE),"")</f>
        <v/>
      </c>
      <c r="B37" s="70"/>
      <c r="C37" s="70"/>
      <c r="D37" s="70"/>
      <c r="E37" s="70"/>
      <c r="F37" s="70"/>
      <c r="G37" s="70"/>
      <c r="H37" s="71"/>
      <c r="I37" s="75" t="str">
        <f>IFERROR(IF(VLOOKUP($C$9,#REF!,61,FALSE)="","",VLOOKUP($C$9,#REF!,61,FALSE)),"")</f>
        <v/>
      </c>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7"/>
      <c r="AT37" s="95" t="str">
        <f>IFERROR(IF(VLOOKUP($C$9,#REF!,62,FALSE)="","",VLOOKUP($C$9,#REF!,62,FALSE)),"")</f>
        <v/>
      </c>
      <c r="AU37" s="70"/>
      <c r="AV37" s="70"/>
      <c r="AW37" s="70"/>
      <c r="AX37" s="71"/>
      <c r="AY37" s="95" t="str">
        <f>IFERROR(IF(VLOOKUP($C$9,#REF!,63,FALSE)="","",VLOOKUP($C$9,#REF!,63,FALSE)),"")</f>
        <v/>
      </c>
      <c r="AZ37" s="70"/>
      <c r="BA37" s="70"/>
      <c r="BB37" s="70"/>
      <c r="BC37" s="71"/>
      <c r="BD37" s="92" t="str">
        <f t="shared" si="1"/>
        <v/>
      </c>
      <c r="BE37" s="93"/>
      <c r="BF37" s="93"/>
      <c r="BG37" s="93"/>
      <c r="BH37" s="94"/>
      <c r="BI37" s="92" t="str">
        <f t="shared" si="0"/>
        <v/>
      </c>
      <c r="BJ37" s="93"/>
      <c r="BK37" s="93"/>
      <c r="BL37" s="93"/>
      <c r="BM37" s="93"/>
      <c r="BN37" s="93"/>
      <c r="BO37" s="123"/>
    </row>
    <row r="38" spans="1:67" ht="20.25" customHeight="1" x14ac:dyDescent="0.35">
      <c r="A38" s="69" t="str">
        <f>IFERROR(VLOOKUP(I38,#REF!,2,FALSE),"")</f>
        <v/>
      </c>
      <c r="B38" s="70"/>
      <c r="C38" s="70"/>
      <c r="D38" s="70"/>
      <c r="E38" s="70"/>
      <c r="F38" s="70"/>
      <c r="G38" s="70"/>
      <c r="H38" s="71"/>
      <c r="I38" s="75" t="str">
        <f>IFERROR(IF(VLOOKUP($C$9,#REF!,65,FALSE)="","",VLOOKUP($C$9,#REF!,65,FALSE)),"")</f>
        <v/>
      </c>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7"/>
      <c r="AT38" s="95" t="str">
        <f>IFERROR(IF(VLOOKUP($C$9,#REF!,66,FALSE)="","",VLOOKUP($C$9,#REF!,66,FALSE)),"")</f>
        <v/>
      </c>
      <c r="AU38" s="70"/>
      <c r="AV38" s="70"/>
      <c r="AW38" s="70"/>
      <c r="AX38" s="71"/>
      <c r="AY38" s="95" t="str">
        <f>IFERROR(IF(VLOOKUP($C$9,#REF!,67,FALSE)="","",VLOOKUP($C$9,#REF!,67,FALSE)),"")</f>
        <v/>
      </c>
      <c r="AZ38" s="70"/>
      <c r="BA38" s="70"/>
      <c r="BB38" s="70"/>
      <c r="BC38" s="71"/>
      <c r="BD38" s="92" t="str">
        <f t="shared" si="1"/>
        <v/>
      </c>
      <c r="BE38" s="93"/>
      <c r="BF38" s="93"/>
      <c r="BG38" s="93"/>
      <c r="BH38" s="94"/>
      <c r="BI38" s="92" t="str">
        <f t="shared" si="0"/>
        <v/>
      </c>
      <c r="BJ38" s="93"/>
      <c r="BK38" s="93"/>
      <c r="BL38" s="93"/>
      <c r="BM38" s="93"/>
      <c r="BN38" s="93"/>
      <c r="BO38" s="123"/>
    </row>
    <row r="39" spans="1:67" ht="20.25" customHeight="1" x14ac:dyDescent="0.35">
      <c r="A39" s="104" t="str">
        <f>IFERROR(VLOOKUP(I39,#REF!,2,FALSE),"")</f>
        <v/>
      </c>
      <c r="B39" s="105"/>
      <c r="C39" s="105"/>
      <c r="D39" s="105"/>
      <c r="E39" s="105"/>
      <c r="F39" s="105"/>
      <c r="G39" s="105"/>
      <c r="H39" s="106"/>
      <c r="I39" s="75" t="str">
        <f>IFERROR(IF(VLOOKUP($C$9,#REF!,69,FALSE)="","",VLOOKUP($C$9,#REF!,69,FALSE)),"")</f>
        <v/>
      </c>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7"/>
      <c r="AT39" s="95" t="str">
        <f>IFERROR(IF(VLOOKUP($C$9,#REF!,70,FALSE)="","",VLOOKUP($C$9,#REF!,70,FALSE)),"")</f>
        <v/>
      </c>
      <c r="AU39" s="70"/>
      <c r="AV39" s="70"/>
      <c r="AW39" s="70"/>
      <c r="AX39" s="71"/>
      <c r="AY39" s="95" t="str">
        <f>IFERROR(IF(VLOOKUP($C$9,#REF!,71,FALSE)="","",VLOOKUP($C$9,#REF!,71,FALSE)),"")</f>
        <v/>
      </c>
      <c r="AZ39" s="70"/>
      <c r="BA39" s="70"/>
      <c r="BB39" s="70"/>
      <c r="BC39" s="71"/>
      <c r="BD39" s="92" t="str">
        <f t="shared" si="1"/>
        <v/>
      </c>
      <c r="BE39" s="93"/>
      <c r="BF39" s="93"/>
      <c r="BG39" s="93"/>
      <c r="BH39" s="94"/>
      <c r="BI39" s="92" t="str">
        <f t="shared" si="0"/>
        <v/>
      </c>
      <c r="BJ39" s="93"/>
      <c r="BK39" s="93"/>
      <c r="BL39" s="93"/>
      <c r="BM39" s="93"/>
      <c r="BN39" s="93"/>
      <c r="BO39" s="123"/>
    </row>
    <row r="40" spans="1:67" ht="20.25" customHeight="1" x14ac:dyDescent="0.35">
      <c r="A40" s="104" t="str">
        <f>IFERROR(VLOOKUP(I40,#REF!,2,FALSE),"")</f>
        <v/>
      </c>
      <c r="B40" s="105"/>
      <c r="C40" s="105"/>
      <c r="D40" s="105"/>
      <c r="E40" s="105"/>
      <c r="F40" s="105"/>
      <c r="G40" s="105"/>
      <c r="H40" s="106"/>
      <c r="I40" s="75" t="str">
        <f>IFERROR(IF(VLOOKUP($C$9,#REF!,73,FALSE)="","",VLOOKUP($C$9,#REF!,73,FALSE)),"")</f>
        <v/>
      </c>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7"/>
      <c r="AT40" s="95" t="str">
        <f>IFERROR(IF(VLOOKUP($C$9,#REF!,74,FALSE)="","",VLOOKUP($C$9,#REF!,74,FALSE)),"")</f>
        <v/>
      </c>
      <c r="AU40" s="70"/>
      <c r="AV40" s="70"/>
      <c r="AW40" s="70"/>
      <c r="AX40" s="71"/>
      <c r="AY40" s="95" t="str">
        <f>IFERROR(IF(VLOOKUP($C$9,#REF!,75,FALSE)="","",VLOOKUP($C$9,#REF!,75,FALSE)),"")</f>
        <v/>
      </c>
      <c r="AZ40" s="70"/>
      <c r="BA40" s="70"/>
      <c r="BB40" s="70"/>
      <c r="BC40" s="71"/>
      <c r="BD40" s="92" t="str">
        <f t="shared" si="1"/>
        <v/>
      </c>
      <c r="BE40" s="93"/>
      <c r="BF40" s="93"/>
      <c r="BG40" s="93"/>
      <c r="BH40" s="94"/>
      <c r="BI40" s="92" t="str">
        <f t="shared" si="0"/>
        <v/>
      </c>
      <c r="BJ40" s="93"/>
      <c r="BK40" s="93"/>
      <c r="BL40" s="93"/>
      <c r="BM40" s="93"/>
      <c r="BN40" s="93"/>
      <c r="BO40" s="123"/>
    </row>
    <row r="41" spans="1:67" ht="20.25" customHeight="1" x14ac:dyDescent="0.35">
      <c r="A41" s="104" t="str">
        <f>IFERROR(VLOOKUP(I41,#REF!,2,FALSE),"")</f>
        <v/>
      </c>
      <c r="B41" s="105"/>
      <c r="C41" s="105"/>
      <c r="D41" s="105"/>
      <c r="E41" s="105"/>
      <c r="F41" s="105"/>
      <c r="G41" s="105"/>
      <c r="H41" s="106"/>
      <c r="I41" s="143" t="str">
        <f>IFERROR(IF(VLOOKUP($C$9,#REF!,77,FALSE)="","",VLOOKUP($C$9,#REF!,77,FALSE)),"")</f>
        <v/>
      </c>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146" t="str">
        <f>IFERROR(IF(VLOOKUP($C$9,#REF!,78,FALSE)="","",VLOOKUP($C$9,#REF!,78,FALSE)),"")</f>
        <v/>
      </c>
      <c r="AU41" s="146"/>
      <c r="AV41" s="146"/>
      <c r="AW41" s="146"/>
      <c r="AX41" s="146"/>
      <c r="AY41" s="146" t="str">
        <f>IFERROR(IF(VLOOKUP($C$9,#REF!,79,FALSE)="","",VLOOKUP($C$9,#REF!,79,FALSE)),"")</f>
        <v/>
      </c>
      <c r="AZ41" s="146"/>
      <c r="BA41" s="146"/>
      <c r="BB41" s="146"/>
      <c r="BC41" s="146"/>
      <c r="BD41" s="92" t="str">
        <f t="shared" si="1"/>
        <v/>
      </c>
      <c r="BE41" s="93"/>
      <c r="BF41" s="93"/>
      <c r="BG41" s="93"/>
      <c r="BH41" s="94"/>
      <c r="BI41" s="92" t="str">
        <f t="shared" si="0"/>
        <v/>
      </c>
      <c r="BJ41" s="93"/>
      <c r="BK41" s="93"/>
      <c r="BL41" s="93"/>
      <c r="BM41" s="93"/>
      <c r="BN41" s="93"/>
      <c r="BO41" s="123"/>
    </row>
    <row r="42" spans="1:67" ht="20.25" customHeight="1" x14ac:dyDescent="0.35">
      <c r="A42" s="104" t="str">
        <f>IFERROR(VLOOKUP(I42,#REF!,2,FALSE),"")</f>
        <v/>
      </c>
      <c r="B42" s="105"/>
      <c r="C42" s="105"/>
      <c r="D42" s="105"/>
      <c r="E42" s="105"/>
      <c r="F42" s="105"/>
      <c r="G42" s="105"/>
      <c r="H42" s="106"/>
      <c r="I42" s="75" t="str">
        <f>IFERROR(IF(VLOOKUP($C$9,#REF!,81,FALSE)="","",VLOOKUP($C$9,#REF!,81,FALSE)),"")</f>
        <v/>
      </c>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7"/>
      <c r="AT42" s="72" t="str">
        <f>IFERROR(IF(VLOOKUP($C$9,#REF!,82,FALSE)="","",VLOOKUP($C$9,#REF!,82,FALSE)),"")</f>
        <v/>
      </c>
      <c r="AU42" s="72"/>
      <c r="AV42" s="72"/>
      <c r="AW42" s="72"/>
      <c r="AX42" s="72"/>
      <c r="AY42" s="72" t="str">
        <f>IFERROR(IF(VLOOKUP($C$9,#REF!,83,FALSE)="","",VLOOKUP($C$9,#REF!,83,FALSE)),"")</f>
        <v/>
      </c>
      <c r="AZ42" s="72"/>
      <c r="BA42" s="72"/>
      <c r="BB42" s="72"/>
      <c r="BC42" s="72"/>
      <c r="BD42" s="92" t="str">
        <f t="shared" si="1"/>
        <v/>
      </c>
      <c r="BE42" s="93"/>
      <c r="BF42" s="93"/>
      <c r="BG42" s="93"/>
      <c r="BH42" s="94"/>
      <c r="BI42" s="92" t="str">
        <f t="shared" si="0"/>
        <v/>
      </c>
      <c r="BJ42" s="93"/>
      <c r="BK42" s="93"/>
      <c r="BL42" s="93"/>
      <c r="BM42" s="93"/>
      <c r="BN42" s="93"/>
      <c r="BO42" s="123"/>
    </row>
    <row r="43" spans="1:67" ht="20.25" customHeight="1" thickBot="1" x14ac:dyDescent="0.4">
      <c r="A43" s="78" t="s">
        <v>42</v>
      </c>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80"/>
      <c r="BD43" s="138" t="str">
        <f>IFERROR(ROUND((SUM(BD31:BD42,BD58:BD61)-SUM(AT58:AT61))/(COUNTA(BD31:BD42)-COUNTBLANK(BD31:BD42)),0),"")</f>
        <v/>
      </c>
      <c r="BE43" s="139"/>
      <c r="BF43" s="139"/>
      <c r="BG43" s="139"/>
      <c r="BH43" s="140"/>
      <c r="BI43" s="138" t="str">
        <f>IF(BD43="","",IF(BD43&gt;=75,"PASSED","FAILED"))</f>
        <v/>
      </c>
      <c r="BJ43" s="139"/>
      <c r="BK43" s="139"/>
      <c r="BL43" s="139"/>
      <c r="BM43" s="139"/>
      <c r="BN43" s="139"/>
      <c r="BO43" s="141"/>
    </row>
    <row r="44" spans="1:67" ht="3" customHeight="1" x14ac:dyDescent="0.35">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row>
    <row r="45" spans="1:67" x14ac:dyDescent="0.35">
      <c r="A45" s="67" t="s">
        <v>43</v>
      </c>
      <c r="B45" s="67"/>
      <c r="C45" s="67"/>
      <c r="D45" s="67"/>
      <c r="E45" s="142" t="str">
        <f>IFERROR(IF(VLOOKUP($C$9,#REF!,86,FALSE)="","",VLOOKUP($C$9,#REF!,86,FALSE)),"")</f>
        <v/>
      </c>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row>
    <row r="46" spans="1:67" ht="3" customHeight="1" x14ac:dyDescent="0.35">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row>
    <row r="47" spans="1:67" x14ac:dyDescent="0.35">
      <c r="A47" s="42" t="s">
        <v>44</v>
      </c>
      <c r="B47" s="42"/>
      <c r="C47" s="42"/>
      <c r="D47" s="42"/>
      <c r="E47" s="42"/>
      <c r="V47" s="42" t="s">
        <v>45</v>
      </c>
      <c r="W47" s="42"/>
      <c r="X47" s="42"/>
      <c r="Y47" s="42"/>
      <c r="Z47" s="42"/>
      <c r="AA47" s="42"/>
      <c r="AB47" s="42"/>
      <c r="AC47" s="42"/>
      <c r="AD47" s="42"/>
      <c r="AE47" s="42"/>
      <c r="AF47" s="4"/>
      <c r="AG47" s="67"/>
      <c r="AH47" s="67"/>
      <c r="AI47" s="67"/>
      <c r="AJ47" s="67"/>
      <c r="AK47" s="67"/>
      <c r="AL47" s="67"/>
      <c r="AM47" s="67"/>
      <c r="AN47" s="67"/>
      <c r="AO47" s="67"/>
      <c r="AP47" s="67"/>
      <c r="AQ47" s="67"/>
      <c r="AR47" s="67"/>
      <c r="AS47" s="67"/>
      <c r="AT47" s="67"/>
      <c r="AV47" s="4"/>
      <c r="AW47" s="4"/>
      <c r="AX47" s="4"/>
      <c r="AY47" s="4"/>
      <c r="AZ47" s="4" t="s">
        <v>46</v>
      </c>
      <c r="BA47" s="4"/>
      <c r="BB47" s="4"/>
      <c r="BC47" s="4"/>
      <c r="BD47" s="4"/>
      <c r="BE47" s="4"/>
      <c r="BF47" s="4"/>
    </row>
    <row r="48" spans="1:67" x14ac:dyDescent="0.35">
      <c r="A48" s="68"/>
      <c r="B48" s="68"/>
      <c r="C48" s="68"/>
      <c r="D48" s="68"/>
      <c r="E48" s="68"/>
      <c r="F48" s="68"/>
      <c r="G48" s="68"/>
      <c r="H48" s="68"/>
      <c r="I48" s="68"/>
      <c r="J48" s="68"/>
      <c r="K48" s="68"/>
      <c r="L48" s="68"/>
      <c r="M48" s="68"/>
      <c r="N48" s="68"/>
      <c r="O48" s="68"/>
      <c r="P48" s="68"/>
      <c r="Q48" s="68"/>
      <c r="R48" s="4"/>
      <c r="S48" s="4"/>
      <c r="T48" s="4"/>
      <c r="U48" s="4"/>
      <c r="V48" s="4"/>
      <c r="W48" s="4"/>
      <c r="X48" s="4"/>
      <c r="Y48" s="67"/>
      <c r="Z48" s="67"/>
      <c r="AA48" s="67"/>
      <c r="AB48" s="67"/>
      <c r="AC48" s="67"/>
      <c r="AD48" s="67"/>
      <c r="AE48" s="67"/>
      <c r="AF48" s="67"/>
      <c r="AG48" s="67"/>
      <c r="AH48" s="67"/>
      <c r="AI48" s="67"/>
      <c r="AJ48" s="67"/>
      <c r="AK48" s="67"/>
      <c r="AL48" s="67"/>
      <c r="AM48" s="67"/>
      <c r="AN48" s="67"/>
      <c r="AO48" s="67"/>
      <c r="AP48" s="4"/>
      <c r="AQ48" s="4"/>
      <c r="AR48" s="4"/>
      <c r="AS48" s="4"/>
      <c r="AU48" s="68"/>
      <c r="AV48" s="68"/>
      <c r="AW48" s="68"/>
      <c r="AX48" s="68"/>
      <c r="AY48" s="68"/>
      <c r="AZ48" s="68"/>
      <c r="BA48" s="68"/>
      <c r="BB48" s="68"/>
      <c r="BC48" s="68"/>
      <c r="BD48" s="68"/>
    </row>
    <row r="49" spans="1:67" x14ac:dyDescent="0.35">
      <c r="A49" s="81"/>
      <c r="B49" s="81"/>
      <c r="C49" s="81"/>
      <c r="D49" s="81"/>
      <c r="E49" s="81"/>
      <c r="F49" s="81"/>
      <c r="G49" s="81"/>
      <c r="H49" s="81"/>
      <c r="I49" s="81"/>
      <c r="J49" s="81"/>
      <c r="K49" s="81"/>
      <c r="L49" s="81"/>
      <c r="M49" s="81"/>
      <c r="N49" s="81"/>
      <c r="O49" s="81"/>
      <c r="P49" s="81"/>
      <c r="Q49" s="81"/>
      <c r="R49" s="81"/>
      <c r="S49" s="81"/>
      <c r="Y49" s="81" t="s">
        <v>101</v>
      </c>
      <c r="Z49" s="81"/>
      <c r="AA49" s="81"/>
      <c r="AB49" s="81"/>
      <c r="AC49" s="81"/>
      <c r="AD49" s="81"/>
      <c r="AE49" s="81"/>
      <c r="AF49" s="81"/>
      <c r="AG49" s="81"/>
      <c r="AH49" s="81"/>
      <c r="AI49" s="81"/>
      <c r="AJ49" s="81"/>
      <c r="AK49" s="81"/>
      <c r="AL49" s="81"/>
      <c r="AM49" s="81"/>
      <c r="AN49" s="81"/>
      <c r="AO49" s="81"/>
      <c r="AP49" s="81"/>
      <c r="AQ49" s="81"/>
      <c r="AR49" s="81"/>
      <c r="AS49" s="81"/>
      <c r="AU49" s="29"/>
      <c r="AV49" s="29"/>
      <c r="AW49" s="29"/>
      <c r="AX49" s="29"/>
      <c r="AY49" s="29"/>
      <c r="AZ49" s="82"/>
      <c r="BA49" s="82"/>
      <c r="BB49" s="82"/>
      <c r="BC49" s="82"/>
      <c r="BD49" s="82"/>
      <c r="BE49" s="82"/>
      <c r="BF49" s="82"/>
      <c r="BG49" s="82"/>
      <c r="BH49" s="82"/>
      <c r="BI49" s="82"/>
      <c r="BJ49" s="82"/>
      <c r="BK49" s="82"/>
      <c r="BL49" s="82"/>
      <c r="BM49" s="82"/>
      <c r="BN49" s="82"/>
      <c r="BO49" s="82"/>
    </row>
    <row r="50" spans="1:67" x14ac:dyDescent="0.35">
      <c r="A50" s="83" t="s">
        <v>47</v>
      </c>
      <c r="B50" s="83"/>
      <c r="C50" s="83"/>
      <c r="D50" s="83"/>
      <c r="E50" s="83"/>
      <c r="F50" s="83"/>
      <c r="G50" s="83"/>
      <c r="H50" s="83"/>
      <c r="I50" s="83"/>
      <c r="J50" s="83"/>
      <c r="K50" s="83"/>
      <c r="L50" s="83"/>
      <c r="M50" s="83"/>
      <c r="N50" s="83"/>
      <c r="O50" s="83"/>
      <c r="P50" s="83"/>
      <c r="Q50" s="83"/>
      <c r="R50" s="83"/>
      <c r="S50" s="83"/>
      <c r="T50" s="4"/>
      <c r="U50" s="4"/>
      <c r="Y50" s="137" t="s">
        <v>48</v>
      </c>
      <c r="Z50" s="137"/>
      <c r="AA50" s="137"/>
      <c r="AB50" s="137"/>
      <c r="AC50" s="137"/>
      <c r="AD50" s="137"/>
      <c r="AE50" s="137"/>
      <c r="AF50" s="137"/>
      <c r="AG50" s="137"/>
      <c r="AH50" s="137"/>
      <c r="AI50" s="137"/>
      <c r="AJ50" s="137"/>
      <c r="AK50" s="137"/>
      <c r="AL50" s="137"/>
      <c r="AM50" s="137"/>
      <c r="AN50" s="137"/>
      <c r="AO50" s="137"/>
      <c r="AP50" s="137"/>
      <c r="AQ50" s="137"/>
      <c r="AR50" s="137"/>
      <c r="AS50" s="137"/>
    </row>
    <row r="51" spans="1:67" ht="9" customHeight="1" x14ac:dyDescent="0.35">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row>
    <row r="52" spans="1:67" x14ac:dyDescent="0.35">
      <c r="A52" s="4" t="s">
        <v>49</v>
      </c>
      <c r="B52" s="4"/>
      <c r="C52" s="4"/>
      <c r="D52" s="4"/>
      <c r="E52" s="4"/>
      <c r="F52" s="4"/>
      <c r="G52" s="4"/>
      <c r="H52" s="4"/>
      <c r="I52" s="65" t="s">
        <v>50</v>
      </c>
      <c r="J52" s="65"/>
      <c r="K52" s="65"/>
      <c r="L52" s="65"/>
      <c r="M52" s="65"/>
      <c r="N52" s="65"/>
      <c r="O52" s="65"/>
      <c r="P52" s="65"/>
      <c r="Q52" s="65"/>
      <c r="R52" s="65"/>
      <c r="S52" s="87"/>
      <c r="T52" s="87"/>
      <c r="U52" s="87"/>
      <c r="V52" s="87"/>
      <c r="W52" s="65" t="s">
        <v>51</v>
      </c>
      <c r="X52" s="65"/>
      <c r="Y52" s="65"/>
      <c r="Z52" s="65"/>
      <c r="AA52" s="65"/>
      <c r="AB52" s="65"/>
      <c r="AC52" s="87"/>
      <c r="AD52" s="87"/>
      <c r="AE52" s="87"/>
      <c r="AF52" s="87"/>
      <c r="AH52" s="65" t="s">
        <v>32</v>
      </c>
      <c r="AI52" s="65"/>
      <c r="AJ52" s="65"/>
      <c r="AK52" s="65"/>
      <c r="AL52" s="66"/>
      <c r="AM52" s="66"/>
      <c r="AN52" s="66"/>
      <c r="AO52" s="66"/>
      <c r="AP52" s="66"/>
      <c r="AQ52" s="66"/>
      <c r="AR52" s="66"/>
      <c r="AS52" s="66"/>
      <c r="AT52" s="66"/>
      <c r="AU52" s="66"/>
      <c r="AV52" s="66"/>
      <c r="AW52" s="66"/>
      <c r="AX52" s="66"/>
      <c r="AY52" s="66"/>
      <c r="AZ52" s="66"/>
      <c r="BA52" s="66"/>
      <c r="BB52" s="66"/>
      <c r="BC52" s="66"/>
      <c r="BD52" s="66"/>
      <c r="BE52" s="66"/>
      <c r="BF52" s="67" t="s">
        <v>33</v>
      </c>
      <c r="BG52" s="67"/>
      <c r="BH52" s="67"/>
      <c r="BI52" s="67"/>
      <c r="BJ52" s="67"/>
      <c r="BK52" s="66"/>
      <c r="BL52" s="66"/>
      <c r="BM52" s="66"/>
      <c r="BN52" s="66"/>
      <c r="BO52" s="66"/>
    </row>
    <row r="53" spans="1:67" ht="3" customHeight="1" thickBot="1" x14ac:dyDescent="0.4">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row>
    <row r="54" spans="1:67" ht="12" customHeight="1" x14ac:dyDescent="0.35">
      <c r="A54" s="47" t="s">
        <v>39</v>
      </c>
      <c r="B54" s="48"/>
      <c r="C54" s="48"/>
      <c r="D54" s="48"/>
      <c r="E54" s="48"/>
      <c r="F54" s="48"/>
      <c r="G54" s="48"/>
      <c r="H54" s="49"/>
      <c r="I54" s="56" t="s">
        <v>3</v>
      </c>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8"/>
      <c r="AT54" s="84" t="s">
        <v>40</v>
      </c>
      <c r="AU54" s="48"/>
      <c r="AV54" s="48"/>
      <c r="AW54" s="48"/>
      <c r="AX54" s="49"/>
      <c r="AY54" s="48" t="s">
        <v>52</v>
      </c>
      <c r="AZ54" s="48"/>
      <c r="BA54" s="48"/>
      <c r="BB54" s="48"/>
      <c r="BC54" s="49"/>
      <c r="BD54" s="43" t="s">
        <v>53</v>
      </c>
      <c r="BE54" s="43"/>
      <c r="BF54" s="43"/>
      <c r="BG54" s="43"/>
      <c r="BH54" s="43"/>
      <c r="BI54" s="43" t="s">
        <v>41</v>
      </c>
      <c r="BJ54" s="43"/>
      <c r="BK54" s="43"/>
      <c r="BL54" s="43"/>
      <c r="BM54" s="43"/>
      <c r="BN54" s="43"/>
      <c r="BO54" s="45"/>
    </row>
    <row r="55" spans="1:67" ht="12" customHeight="1" x14ac:dyDescent="0.35">
      <c r="A55" s="50"/>
      <c r="B55" s="51"/>
      <c r="C55" s="51"/>
      <c r="D55" s="51"/>
      <c r="E55" s="51"/>
      <c r="F55" s="51"/>
      <c r="G55" s="51"/>
      <c r="H55" s="52"/>
      <c r="I55" s="59"/>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1"/>
      <c r="AT55" s="85"/>
      <c r="AU55" s="51"/>
      <c r="AV55" s="51"/>
      <c r="AW55" s="51"/>
      <c r="AX55" s="52"/>
      <c r="AY55" s="51"/>
      <c r="AZ55" s="51"/>
      <c r="BA55" s="51"/>
      <c r="BB55" s="51"/>
      <c r="BC55" s="52"/>
      <c r="BD55" s="44"/>
      <c r="BE55" s="44"/>
      <c r="BF55" s="44"/>
      <c r="BG55" s="44"/>
      <c r="BH55" s="44"/>
      <c r="BI55" s="44"/>
      <c r="BJ55" s="44"/>
      <c r="BK55" s="44"/>
      <c r="BL55" s="44"/>
      <c r="BM55" s="44"/>
      <c r="BN55" s="44"/>
      <c r="BO55" s="46"/>
    </row>
    <row r="56" spans="1:67" ht="12" customHeight="1" x14ac:dyDescent="0.35">
      <c r="A56" s="50"/>
      <c r="B56" s="51"/>
      <c r="C56" s="51"/>
      <c r="D56" s="51"/>
      <c r="E56" s="51"/>
      <c r="F56" s="51"/>
      <c r="G56" s="51"/>
      <c r="H56" s="52"/>
      <c r="I56" s="59"/>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1"/>
      <c r="AT56" s="85"/>
      <c r="AU56" s="51"/>
      <c r="AV56" s="51"/>
      <c r="AW56" s="51"/>
      <c r="AX56" s="52"/>
      <c r="AY56" s="51"/>
      <c r="AZ56" s="51"/>
      <c r="BA56" s="51"/>
      <c r="BB56" s="51"/>
      <c r="BC56" s="52"/>
      <c r="BD56" s="44"/>
      <c r="BE56" s="44"/>
      <c r="BF56" s="44"/>
      <c r="BG56" s="44"/>
      <c r="BH56" s="44"/>
      <c r="BI56" s="44"/>
      <c r="BJ56" s="44"/>
      <c r="BK56" s="44"/>
      <c r="BL56" s="44"/>
      <c r="BM56" s="44"/>
      <c r="BN56" s="44"/>
      <c r="BO56" s="46"/>
    </row>
    <row r="57" spans="1:67" ht="12" customHeight="1" x14ac:dyDescent="0.35">
      <c r="A57" s="53"/>
      <c r="B57" s="54"/>
      <c r="C57" s="54"/>
      <c r="D57" s="54"/>
      <c r="E57" s="54"/>
      <c r="F57" s="54"/>
      <c r="G57" s="54"/>
      <c r="H57" s="55"/>
      <c r="I57" s="62"/>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86"/>
      <c r="AU57" s="54"/>
      <c r="AV57" s="54"/>
      <c r="AW57" s="54"/>
      <c r="AX57" s="55"/>
      <c r="AY57" s="54"/>
      <c r="AZ57" s="54"/>
      <c r="BA57" s="54"/>
      <c r="BB57" s="54"/>
      <c r="BC57" s="55"/>
      <c r="BD57" s="44"/>
      <c r="BE57" s="44"/>
      <c r="BF57" s="44"/>
      <c r="BG57" s="44"/>
      <c r="BH57" s="44"/>
      <c r="BI57" s="44"/>
      <c r="BJ57" s="44"/>
      <c r="BK57" s="44"/>
      <c r="BL57" s="44"/>
      <c r="BM57" s="44"/>
      <c r="BN57" s="44"/>
      <c r="BO57" s="46"/>
    </row>
    <row r="58" spans="1:67" ht="19" customHeight="1" x14ac:dyDescent="0.35">
      <c r="A58" s="69"/>
      <c r="B58" s="70"/>
      <c r="C58" s="70"/>
      <c r="D58" s="70"/>
      <c r="E58" s="70"/>
      <c r="F58" s="70"/>
      <c r="G58" s="70"/>
      <c r="H58" s="71"/>
      <c r="I58" s="75"/>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7"/>
      <c r="AT58" s="72"/>
      <c r="AU58" s="72"/>
      <c r="AV58" s="72"/>
      <c r="AW58" s="72"/>
      <c r="AX58" s="72"/>
      <c r="AY58" s="72"/>
      <c r="AZ58" s="72"/>
      <c r="BA58" s="72"/>
      <c r="BB58" s="72"/>
      <c r="BC58" s="72"/>
      <c r="BD58" s="73" t="str">
        <f>IF(OR(AT58="",AY58=""),"",IF(ISERROR(ROUND(AVERAGE(AT58,AY58),0)),"",ROUND(AVERAGE(AT58,AY58),0)))</f>
        <v/>
      </c>
      <c r="BE58" s="73"/>
      <c r="BF58" s="73"/>
      <c r="BG58" s="73"/>
      <c r="BH58" s="73"/>
      <c r="BI58" s="73" t="str">
        <f>IF(OR(AT58="",AY58="",BD58=""),"",IF(BD58&gt;=75,"PASSED","FAILED"))</f>
        <v/>
      </c>
      <c r="BJ58" s="73"/>
      <c r="BK58" s="73"/>
      <c r="BL58" s="73"/>
      <c r="BM58" s="73"/>
      <c r="BN58" s="73"/>
      <c r="BO58" s="74"/>
    </row>
    <row r="59" spans="1:67" ht="19" customHeight="1" x14ac:dyDescent="0.35">
      <c r="A59" s="69"/>
      <c r="B59" s="70"/>
      <c r="C59" s="70"/>
      <c r="D59" s="70"/>
      <c r="E59" s="70"/>
      <c r="F59" s="70"/>
      <c r="G59" s="70"/>
      <c r="H59" s="71"/>
      <c r="I59" s="75"/>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7"/>
      <c r="AT59" s="95"/>
      <c r="AU59" s="70"/>
      <c r="AV59" s="70"/>
      <c r="AW59" s="70"/>
      <c r="AX59" s="71"/>
      <c r="AY59" s="95"/>
      <c r="AZ59" s="70"/>
      <c r="BA59" s="70"/>
      <c r="BB59" s="70"/>
      <c r="BC59" s="71"/>
      <c r="BD59" s="92" t="str">
        <f>IF(OR(AT59="",AY59=""),"",IF(ISERROR(ROUND(AVERAGE(AT59,AY59),0)),"",ROUND(AVERAGE(AT59,AY59),0)))</f>
        <v/>
      </c>
      <c r="BE59" s="93"/>
      <c r="BF59" s="93"/>
      <c r="BG59" s="93"/>
      <c r="BH59" s="94"/>
      <c r="BI59" s="92" t="str">
        <f>IF(OR(AT59="",AY59="",BD59=""),"",IF(BD59&gt;=75,"PASSED","FAILED"))</f>
        <v/>
      </c>
      <c r="BJ59" s="93"/>
      <c r="BK59" s="93"/>
      <c r="BL59" s="93"/>
      <c r="BM59" s="93"/>
      <c r="BN59" s="93"/>
      <c r="BO59" s="123"/>
    </row>
    <row r="60" spans="1:67" ht="20.25" customHeight="1" x14ac:dyDescent="0.35">
      <c r="A60" s="69"/>
      <c r="B60" s="70"/>
      <c r="C60" s="70"/>
      <c r="D60" s="70"/>
      <c r="E60" s="70"/>
      <c r="F60" s="70"/>
      <c r="G60" s="70"/>
      <c r="H60" s="71"/>
      <c r="I60" s="75"/>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7"/>
      <c r="AT60" s="72"/>
      <c r="AU60" s="72"/>
      <c r="AV60" s="72"/>
      <c r="AW60" s="72"/>
      <c r="AX60" s="72"/>
      <c r="AY60" s="72"/>
      <c r="AZ60" s="72"/>
      <c r="BA60" s="72"/>
      <c r="BB60" s="72"/>
      <c r="BC60" s="72"/>
      <c r="BD60" s="73" t="str">
        <f>IF(OR(AT60="",AY60=""),"",IF(ISERROR(ROUND(AVERAGE(AT60,AY60),0)),"",ROUND(AVERAGE(AT60,AY60),0)))</f>
        <v/>
      </c>
      <c r="BE60" s="73"/>
      <c r="BF60" s="73"/>
      <c r="BG60" s="73"/>
      <c r="BH60" s="73"/>
      <c r="BI60" s="73" t="str">
        <f>IF(OR(AT60="",AY60="",BD60=""),"",IF(BD60&gt;=75,"PASSED","FAILED"))</f>
        <v/>
      </c>
      <c r="BJ60" s="73"/>
      <c r="BK60" s="73"/>
      <c r="BL60" s="73"/>
      <c r="BM60" s="73"/>
      <c r="BN60" s="73"/>
      <c r="BO60" s="74"/>
    </row>
    <row r="61" spans="1:67" ht="19" customHeight="1" thickBot="1" x14ac:dyDescent="0.4">
      <c r="A61" s="115"/>
      <c r="B61" s="116"/>
      <c r="C61" s="116"/>
      <c r="D61" s="116"/>
      <c r="E61" s="116"/>
      <c r="F61" s="116"/>
      <c r="G61" s="116"/>
      <c r="H61" s="117"/>
      <c r="I61" s="101"/>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3"/>
      <c r="AT61" s="113"/>
      <c r="AU61" s="113"/>
      <c r="AV61" s="113"/>
      <c r="AW61" s="113"/>
      <c r="AX61" s="113"/>
      <c r="AY61" s="113"/>
      <c r="AZ61" s="113"/>
      <c r="BA61" s="113"/>
      <c r="BB61" s="113"/>
      <c r="BC61" s="113"/>
      <c r="BD61" s="114" t="str">
        <f>IF(OR(AT61="",AY61=""),"",IF(ISERROR(ROUND(AVERAGE(AT61,AY61),0)),"",ROUND(AVERAGE(AT61,AY61),0)))</f>
        <v/>
      </c>
      <c r="BE61" s="114"/>
      <c r="BF61" s="114"/>
      <c r="BG61" s="114"/>
      <c r="BH61" s="114"/>
      <c r="BI61" s="114" t="str">
        <f>IF(OR(AT61="",AY61="",BD61=""),"",IF(BD61&gt;=75,"PASSED","FAILED"))</f>
        <v/>
      </c>
      <c r="BJ61" s="114"/>
      <c r="BK61" s="114"/>
      <c r="BL61" s="114"/>
      <c r="BM61" s="114"/>
      <c r="BN61" s="114"/>
      <c r="BO61" s="121"/>
    </row>
    <row r="62" spans="1:67" ht="3" customHeight="1" x14ac:dyDescent="0.35">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row>
    <row r="63" spans="1:67" ht="22.5" customHeight="1" x14ac:dyDescent="0.35">
      <c r="A63" s="111" t="s">
        <v>54</v>
      </c>
      <c r="B63" s="111"/>
      <c r="C63" s="111"/>
      <c r="D63" s="111"/>
      <c r="E63" s="111"/>
      <c r="F63" s="111"/>
      <c r="G63" s="111"/>
      <c r="H63" s="111"/>
      <c r="I63" s="11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107" t="s">
        <v>55</v>
      </c>
      <c r="AU63" s="107"/>
      <c r="AV63" s="107"/>
      <c r="AW63" s="107"/>
      <c r="AX63" s="107"/>
      <c r="AY63" s="118"/>
      <c r="AZ63" s="118"/>
      <c r="BA63" s="118"/>
      <c r="BB63" s="118"/>
      <c r="BC63" s="118"/>
      <c r="BD63" s="118"/>
      <c r="BE63" s="118"/>
      <c r="BF63" s="118"/>
      <c r="BG63" s="118"/>
      <c r="BH63" s="118"/>
      <c r="BI63" s="118"/>
      <c r="BJ63" s="118"/>
      <c r="BK63" s="118"/>
      <c r="BL63" s="118"/>
      <c r="BM63" s="118"/>
      <c r="BN63" s="118"/>
      <c r="BO63" s="118"/>
    </row>
    <row r="64" spans="1:67" ht="15" customHeight="1" x14ac:dyDescent="0.3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68"/>
      <c r="BK64" s="68"/>
      <c r="BL64" s="68"/>
      <c r="BM64" s="68"/>
      <c r="BN64" s="68"/>
      <c r="BO64" s="68"/>
    </row>
    <row r="65" spans="1:67" ht="15" customHeight="1" x14ac:dyDescent="0.3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row>
    <row r="66" spans="1:67" x14ac:dyDescent="0.35">
      <c r="A66" s="67" t="s">
        <v>32</v>
      </c>
      <c r="B66" s="67"/>
      <c r="C66" s="67"/>
      <c r="D66" s="67"/>
      <c r="E66" s="100" t="str">
        <f>IFERROR(IF(VLOOKUP($C$9,#REF!,87,FALSE)="","",VLOOKUP($C$9,#REF!,87,FALSE)),"")</f>
        <v/>
      </c>
      <c r="F66" s="100"/>
      <c r="G66" s="100"/>
      <c r="H66" s="100"/>
      <c r="I66" s="100"/>
      <c r="J66" s="100"/>
      <c r="K66" s="100"/>
      <c r="L66" s="100"/>
      <c r="M66" s="100"/>
      <c r="N66" s="100"/>
      <c r="O66" s="100"/>
      <c r="P66" s="100"/>
      <c r="Q66" s="100"/>
      <c r="R66" s="100"/>
      <c r="S66" s="100"/>
      <c r="T66" s="100"/>
      <c r="U66" s="100"/>
      <c r="V66" s="100"/>
      <c r="W66" s="100"/>
      <c r="X66" s="100"/>
      <c r="Y66" s="100"/>
      <c r="Z66" s="100"/>
      <c r="AA66" s="100"/>
      <c r="AB66" s="65" t="s">
        <v>33</v>
      </c>
      <c r="AC66" s="65"/>
      <c r="AD66" s="65"/>
      <c r="AE66" s="65"/>
      <c r="AF66" s="100" t="str">
        <f>IFERROR(IF(VLOOKUP($C$9,#REF!,88,FALSE)="","",VLOOKUP($C$9,#REF!,88,FALSE)),"")</f>
        <v/>
      </c>
      <c r="AG66" s="100"/>
      <c r="AH66" s="100"/>
      <c r="AI66" s="100"/>
      <c r="AJ66" s="100"/>
      <c r="AK66" s="100"/>
      <c r="AL66" s="100"/>
      <c r="AM66" s="67" t="s">
        <v>34</v>
      </c>
      <c r="AN66" s="67"/>
      <c r="AO66" s="67"/>
      <c r="AP66" s="67"/>
      <c r="AQ66" s="67"/>
      <c r="AR66" s="67"/>
      <c r="AS66" s="100" t="str">
        <f>IFERROR(IF(VLOOKUP($C$9,#REF!,89,FALSE)="","",VLOOKUP($C$9,#REF!,89,FALSE)),"")</f>
        <v/>
      </c>
      <c r="AT66" s="100"/>
      <c r="AU66" s="100"/>
      <c r="AV66" s="100"/>
      <c r="AW66" s="100"/>
      <c r="AX66" s="100"/>
      <c r="AY66" s="67" t="s">
        <v>35</v>
      </c>
      <c r="AZ66" s="67"/>
      <c r="BA66" s="100" t="str">
        <f>IFERROR(IF(VLOOKUP($C$9,#REF!,90,FALSE)="","",VLOOKUP($C$9,#REF!,90,FALSE)),"")</f>
        <v/>
      </c>
      <c r="BB66" s="100"/>
      <c r="BC66" s="100"/>
      <c r="BD66" s="100"/>
      <c r="BE66" s="100"/>
      <c r="BF66" s="100"/>
      <c r="BG66" s="100"/>
      <c r="BH66" s="65" t="s">
        <v>36</v>
      </c>
      <c r="BI66" s="65"/>
      <c r="BJ66" s="65"/>
      <c r="BK66" s="100" t="str">
        <f>IFERROR(IF(VLOOKUP($C$9,#REF!,93,FALSE)="","",VLOOKUP($C$9,#REF!,93,FALSE)),"")</f>
        <v/>
      </c>
      <c r="BL66" s="100"/>
      <c r="BM66" s="100"/>
      <c r="BN66" s="100"/>
      <c r="BO66" s="100"/>
    </row>
    <row r="67" spans="1:67" ht="3" customHeight="1" x14ac:dyDescent="0.35">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5">
      <c r="A68" s="67" t="s">
        <v>37</v>
      </c>
      <c r="B68" s="67"/>
      <c r="C68" s="67"/>
      <c r="D68" s="67"/>
      <c r="E68" s="67"/>
      <c r="F68" s="67"/>
      <c r="G68" s="100" t="str">
        <f>IFERROR(IF(VLOOKUP($C$9,#REF!,91,FALSE)="","",VLOOKUP($C$9,#REF!,91,FALSE)),"")</f>
        <v/>
      </c>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65" t="s">
        <v>38</v>
      </c>
      <c r="AO68" s="65"/>
      <c r="AP68" s="65"/>
      <c r="AQ68" s="65"/>
      <c r="AR68" s="65"/>
      <c r="AS68" s="100" t="str">
        <f>IFERROR(IF(VLOOKUP($C$9,#REF!,92,FALSE)="","",VLOOKUP($C$9,#REF!,92,FALSE)),"")</f>
        <v/>
      </c>
      <c r="AT68" s="100"/>
      <c r="AU68" s="100"/>
      <c r="AV68" s="100"/>
      <c r="AW68" s="100"/>
      <c r="AX68" s="100"/>
      <c r="AY68" s="100"/>
      <c r="AZ68" s="100"/>
      <c r="BA68" s="100"/>
      <c r="BB68" s="100"/>
      <c r="BC68" s="100"/>
      <c r="BD68" s="100"/>
      <c r="BE68" s="100"/>
      <c r="BF68" s="100"/>
      <c r="BG68" s="100"/>
      <c r="BH68" s="100"/>
      <c r="BI68" s="100"/>
      <c r="BJ68" s="100"/>
      <c r="BK68" s="100"/>
      <c r="BL68" s="100"/>
      <c r="BM68" s="100"/>
      <c r="BN68" s="100"/>
      <c r="BO68" s="100"/>
    </row>
    <row r="69" spans="1:67" ht="3" customHeight="1" thickBot="1" x14ac:dyDescent="0.4">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row>
    <row r="70" spans="1:67" ht="12" customHeight="1" x14ac:dyDescent="0.35">
      <c r="A70" s="50" t="s">
        <v>39</v>
      </c>
      <c r="B70" s="51"/>
      <c r="C70" s="51"/>
      <c r="D70" s="51"/>
      <c r="E70" s="51"/>
      <c r="F70" s="51"/>
      <c r="G70" s="51"/>
      <c r="H70" s="52"/>
      <c r="I70" s="56" t="s">
        <v>3</v>
      </c>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8"/>
      <c r="AT70" s="112" t="s">
        <v>4</v>
      </c>
      <c r="AU70" s="112"/>
      <c r="AV70" s="112"/>
      <c r="AW70" s="112"/>
      <c r="AX70" s="112"/>
      <c r="AY70" s="112"/>
      <c r="AZ70" s="112"/>
      <c r="BA70" s="112"/>
      <c r="BB70" s="112"/>
      <c r="BC70" s="112"/>
      <c r="BD70" s="135" t="s">
        <v>40</v>
      </c>
      <c r="BE70" s="135"/>
      <c r="BF70" s="135"/>
      <c r="BG70" s="135"/>
      <c r="BH70" s="135"/>
      <c r="BI70" s="135" t="s">
        <v>41</v>
      </c>
      <c r="BJ70" s="135"/>
      <c r="BK70" s="135"/>
      <c r="BL70" s="135"/>
      <c r="BM70" s="135"/>
      <c r="BN70" s="135"/>
      <c r="BO70" s="136"/>
    </row>
    <row r="71" spans="1:67" ht="12" customHeight="1" x14ac:dyDescent="0.35">
      <c r="A71" s="50"/>
      <c r="B71" s="51"/>
      <c r="C71" s="51"/>
      <c r="D71" s="51"/>
      <c r="E71" s="51"/>
      <c r="F71" s="51"/>
      <c r="G71" s="51"/>
      <c r="H71" s="52"/>
      <c r="I71" s="59"/>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1"/>
      <c r="AT71" s="109"/>
      <c r="AU71" s="109"/>
      <c r="AV71" s="109"/>
      <c r="AW71" s="109"/>
      <c r="AX71" s="109"/>
      <c r="AY71" s="109"/>
      <c r="AZ71" s="109"/>
      <c r="BA71" s="109"/>
      <c r="BB71" s="109"/>
      <c r="BC71" s="109"/>
      <c r="BD71" s="44"/>
      <c r="BE71" s="44"/>
      <c r="BF71" s="44"/>
      <c r="BG71" s="44"/>
      <c r="BH71" s="44"/>
      <c r="BI71" s="44"/>
      <c r="BJ71" s="44"/>
      <c r="BK71" s="44"/>
      <c r="BL71" s="44"/>
      <c r="BM71" s="44"/>
      <c r="BN71" s="44"/>
      <c r="BO71" s="46"/>
    </row>
    <row r="72" spans="1:67" ht="12" customHeight="1" x14ac:dyDescent="0.35">
      <c r="A72" s="50"/>
      <c r="B72" s="51"/>
      <c r="C72" s="51"/>
      <c r="D72" s="51"/>
      <c r="E72" s="51"/>
      <c r="F72" s="51"/>
      <c r="G72" s="51"/>
      <c r="H72" s="52"/>
      <c r="I72" s="59"/>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1"/>
      <c r="AT72" s="109" t="str">
        <f>IF(BK66="","",IF(BK66="1ST","1ST",IF(BK66="2ND","3RD")))</f>
        <v/>
      </c>
      <c r="AU72" s="109"/>
      <c r="AV72" s="109"/>
      <c r="AW72" s="109"/>
      <c r="AX72" s="109"/>
      <c r="AY72" s="109" t="str">
        <f>IF(BK66="","",IF(BK66="1ST","2ND",IF(BK66="2ND","4TH")))</f>
        <v/>
      </c>
      <c r="AZ72" s="109"/>
      <c r="BA72" s="109"/>
      <c r="BB72" s="109"/>
      <c r="BC72" s="109"/>
      <c r="BD72" s="44"/>
      <c r="BE72" s="44"/>
      <c r="BF72" s="44"/>
      <c r="BG72" s="44"/>
      <c r="BH72" s="44"/>
      <c r="BI72" s="44"/>
      <c r="BJ72" s="44"/>
      <c r="BK72" s="44"/>
      <c r="BL72" s="44"/>
      <c r="BM72" s="44"/>
      <c r="BN72" s="44"/>
      <c r="BO72" s="46"/>
    </row>
    <row r="73" spans="1:67" ht="12" customHeight="1" x14ac:dyDescent="0.35">
      <c r="A73" s="53"/>
      <c r="B73" s="54"/>
      <c r="C73" s="54"/>
      <c r="D73" s="54"/>
      <c r="E73" s="54"/>
      <c r="F73" s="54"/>
      <c r="G73" s="54"/>
      <c r="H73" s="55"/>
      <c r="I73" s="62"/>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4"/>
      <c r="AT73" s="109"/>
      <c r="AU73" s="109"/>
      <c r="AV73" s="109"/>
      <c r="AW73" s="109"/>
      <c r="AX73" s="109"/>
      <c r="AY73" s="109"/>
      <c r="AZ73" s="109"/>
      <c r="BA73" s="109"/>
      <c r="BB73" s="109"/>
      <c r="BC73" s="109"/>
      <c r="BD73" s="44"/>
      <c r="BE73" s="44"/>
      <c r="BF73" s="44"/>
      <c r="BG73" s="44"/>
      <c r="BH73" s="44"/>
      <c r="BI73" s="44"/>
      <c r="BJ73" s="44"/>
      <c r="BK73" s="44"/>
      <c r="BL73" s="44"/>
      <c r="BM73" s="44"/>
      <c r="BN73" s="44"/>
      <c r="BO73" s="46"/>
    </row>
    <row r="74" spans="1:67" ht="19" customHeight="1" x14ac:dyDescent="0.35">
      <c r="A74" s="69" t="str">
        <f>IFERROR(VLOOKUP(I74,#REF!,2,FALSE),"")</f>
        <v/>
      </c>
      <c r="B74" s="70"/>
      <c r="C74" s="70"/>
      <c r="D74" s="70"/>
      <c r="E74" s="70"/>
      <c r="F74" s="70"/>
      <c r="G74" s="70"/>
      <c r="H74" s="71"/>
      <c r="I74" s="96" t="str">
        <f>IFERROR(IF(VLOOKUP($C$9,#REF!,94,FALSE)="","",VLOOKUP($C$9,#REF!,94,FALSE)),"")</f>
        <v/>
      </c>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8"/>
      <c r="AT74" s="72" t="str">
        <f>IFERROR(IF(VLOOKUP($C$9,#REF!,95,FALSE)="","",VLOOKUP($C$9,#REF!,95,FALSE)),"")</f>
        <v/>
      </c>
      <c r="AU74" s="72"/>
      <c r="AV74" s="72"/>
      <c r="AW74" s="72"/>
      <c r="AX74" s="72"/>
      <c r="AY74" s="72" t="str">
        <f>IFERROR(IF(VLOOKUP($C$9,#REF!,96,FALSE)="","",VLOOKUP($C$9,#REF!,96,FALSE)),"")</f>
        <v/>
      </c>
      <c r="AZ74" s="72"/>
      <c r="BA74" s="72"/>
      <c r="BB74" s="72"/>
      <c r="BC74" s="72"/>
      <c r="BD74" s="73" t="str">
        <f>IF(OR(AT74="",AY74=""),"",IF(ISERROR(ROUND(AVERAGE(AT74,AY74),0)),"",ROUND(AVERAGE(AT74,AY74),0)))</f>
        <v/>
      </c>
      <c r="BE74" s="73"/>
      <c r="BF74" s="73"/>
      <c r="BG74" s="73"/>
      <c r="BH74" s="73"/>
      <c r="BI74" s="90" t="str">
        <f>IF(OR(AT74="",AY74="",BD74=""),"",IF(BD74&gt;=75,"PASSED","FAILED"))</f>
        <v/>
      </c>
      <c r="BJ74" s="90"/>
      <c r="BK74" s="90"/>
      <c r="BL74" s="90"/>
      <c r="BM74" s="90"/>
      <c r="BN74" s="90"/>
      <c r="BO74" s="91"/>
    </row>
    <row r="75" spans="1:67" ht="19" customHeight="1" x14ac:dyDescent="0.35">
      <c r="A75" s="69" t="str">
        <f>IFERROR(VLOOKUP(I75,#REF!,2,FALSE),"")</f>
        <v/>
      </c>
      <c r="B75" s="70"/>
      <c r="C75" s="70"/>
      <c r="D75" s="70"/>
      <c r="E75" s="70"/>
      <c r="F75" s="70"/>
      <c r="G75" s="70"/>
      <c r="H75" s="71"/>
      <c r="I75" s="96" t="str">
        <f>IFERROR(IF(VLOOKUP($C$9,#REF!,98,FALSE)="","",VLOOKUP($C$9,#REF!,98,FALSE)),"")</f>
        <v/>
      </c>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8"/>
      <c r="AT75" s="72" t="str">
        <f>IFERROR(IF(VLOOKUP($C$9,#REF!,99,FALSE)="","",VLOOKUP($C$9,#REF!,99,FALSE)),"")</f>
        <v/>
      </c>
      <c r="AU75" s="72"/>
      <c r="AV75" s="72"/>
      <c r="AW75" s="72"/>
      <c r="AX75" s="72"/>
      <c r="AY75" s="72" t="str">
        <f>IFERROR(IF(VLOOKUP($C$9,#REF!,100,FALSE)="","",VLOOKUP($C$9,#REF!,100,FALSE)),"")</f>
        <v/>
      </c>
      <c r="AZ75" s="72"/>
      <c r="BA75" s="72"/>
      <c r="BB75" s="72"/>
      <c r="BC75" s="72"/>
      <c r="BD75" s="92" t="str">
        <f t="shared" ref="BD75:BD85" si="2">IF(OR(AT75="",AY75=""),"",IF(ISERROR(ROUND(AVERAGE(AT75,AY75),0)),"",ROUND(AVERAGE(AT75,AY75),0)))</f>
        <v/>
      </c>
      <c r="BE75" s="93"/>
      <c r="BF75" s="93"/>
      <c r="BG75" s="93"/>
      <c r="BH75" s="94"/>
      <c r="BI75" s="90" t="str">
        <f t="shared" ref="BI75:BI85" si="3">IF(OR(AT75="",AY75="",BD75=""),"",IF(BD75&gt;=75,"PASSED","FAILED"))</f>
        <v/>
      </c>
      <c r="BJ75" s="90"/>
      <c r="BK75" s="90"/>
      <c r="BL75" s="90"/>
      <c r="BM75" s="90"/>
      <c r="BN75" s="90"/>
      <c r="BO75" s="91"/>
    </row>
    <row r="76" spans="1:67" ht="19" customHeight="1" x14ac:dyDescent="0.35">
      <c r="A76" s="69" t="str">
        <f>IFERROR(VLOOKUP(I76,#REF!,2,FALSE),"")</f>
        <v/>
      </c>
      <c r="B76" s="70"/>
      <c r="C76" s="70"/>
      <c r="D76" s="70"/>
      <c r="E76" s="70"/>
      <c r="F76" s="70"/>
      <c r="G76" s="70"/>
      <c r="H76" s="71"/>
      <c r="I76" s="96" t="str">
        <f>IFERROR(IF(VLOOKUP($C$9,#REF!,102,FALSE)="","",VLOOKUP($C$9,#REF!,102,FALSE)),"")</f>
        <v/>
      </c>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8"/>
      <c r="AT76" s="72" t="str">
        <f>IFERROR(IF(VLOOKUP($C$9,#REF!,103,FALSE)="","",VLOOKUP($C$9,#REF!,103,FALSE)),"")</f>
        <v/>
      </c>
      <c r="AU76" s="72"/>
      <c r="AV76" s="72"/>
      <c r="AW76" s="72"/>
      <c r="AX76" s="72"/>
      <c r="AY76" s="72" t="str">
        <f>IFERROR(IF(VLOOKUP($C$9,#REF!,104,FALSE)="","",VLOOKUP($C$9,#REF!,104,FALSE)),"")</f>
        <v/>
      </c>
      <c r="AZ76" s="72"/>
      <c r="BA76" s="72"/>
      <c r="BB76" s="72"/>
      <c r="BC76" s="72"/>
      <c r="BD76" s="92" t="str">
        <f t="shared" si="2"/>
        <v/>
      </c>
      <c r="BE76" s="93"/>
      <c r="BF76" s="93"/>
      <c r="BG76" s="93"/>
      <c r="BH76" s="94"/>
      <c r="BI76" s="90" t="str">
        <f t="shared" si="3"/>
        <v/>
      </c>
      <c r="BJ76" s="90"/>
      <c r="BK76" s="90"/>
      <c r="BL76" s="90"/>
      <c r="BM76" s="90"/>
      <c r="BN76" s="90"/>
      <c r="BO76" s="91"/>
    </row>
    <row r="77" spans="1:67" ht="19" customHeight="1" x14ac:dyDescent="0.35">
      <c r="A77" s="69" t="str">
        <f>IFERROR(VLOOKUP(I77,#REF!,2,FALSE),"")</f>
        <v/>
      </c>
      <c r="B77" s="70"/>
      <c r="C77" s="70"/>
      <c r="D77" s="70"/>
      <c r="E77" s="70"/>
      <c r="F77" s="70"/>
      <c r="G77" s="70"/>
      <c r="H77" s="71"/>
      <c r="I77" s="96" t="str">
        <f>IFERROR(IF(VLOOKUP($C$9,#REF!,106,FALSE)="","",VLOOKUP($C$9,#REF!,106,FALSE)),"")</f>
        <v/>
      </c>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8"/>
      <c r="AT77" s="72" t="str">
        <f>IFERROR(IF(VLOOKUP($C$9,#REF!,107,FALSE)="","",VLOOKUP($C$9,#REF!,107,FALSE)),"")</f>
        <v/>
      </c>
      <c r="AU77" s="72"/>
      <c r="AV77" s="72"/>
      <c r="AW77" s="72"/>
      <c r="AX77" s="72"/>
      <c r="AY77" s="72" t="str">
        <f>IFERROR(IF(VLOOKUP($C$9,#REF!,108,FALSE)="","",VLOOKUP($C$9,#REF!,108,FALSE)),"")</f>
        <v/>
      </c>
      <c r="AZ77" s="72"/>
      <c r="BA77" s="72"/>
      <c r="BB77" s="72"/>
      <c r="BC77" s="72"/>
      <c r="BD77" s="92" t="str">
        <f t="shared" si="2"/>
        <v/>
      </c>
      <c r="BE77" s="93"/>
      <c r="BF77" s="93"/>
      <c r="BG77" s="93"/>
      <c r="BH77" s="94"/>
      <c r="BI77" s="90" t="str">
        <f t="shared" si="3"/>
        <v/>
      </c>
      <c r="BJ77" s="90"/>
      <c r="BK77" s="90"/>
      <c r="BL77" s="90"/>
      <c r="BM77" s="90"/>
      <c r="BN77" s="90"/>
      <c r="BO77" s="91"/>
    </row>
    <row r="78" spans="1:67" ht="19" customHeight="1" x14ac:dyDescent="0.35">
      <c r="A78" s="69" t="str">
        <f>IFERROR(VLOOKUP(I78,#REF!,2,FALSE),"")</f>
        <v/>
      </c>
      <c r="B78" s="70"/>
      <c r="C78" s="70"/>
      <c r="D78" s="70"/>
      <c r="E78" s="70"/>
      <c r="F78" s="70"/>
      <c r="G78" s="70"/>
      <c r="H78" s="71"/>
      <c r="I78" s="96" t="str">
        <f>IFERROR(IF(VLOOKUP($C$9,#REF!,110,FALSE)="","",VLOOKUP($C$9,#REF!,110,FALSE)),"")</f>
        <v/>
      </c>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8"/>
      <c r="AT78" s="72" t="str">
        <f>IFERROR(IF(VLOOKUP($C$9,#REF!,111,FALSE)="","",VLOOKUP($C$9,#REF!,111,FALSE)),"")</f>
        <v/>
      </c>
      <c r="AU78" s="72"/>
      <c r="AV78" s="72"/>
      <c r="AW78" s="72"/>
      <c r="AX78" s="72"/>
      <c r="AY78" s="72" t="str">
        <f>IFERROR(IF(VLOOKUP($C$9,#REF!,112,FALSE)="","",VLOOKUP($C$9,#REF!,112,FALSE)),"")</f>
        <v/>
      </c>
      <c r="AZ78" s="72"/>
      <c r="BA78" s="72"/>
      <c r="BB78" s="72"/>
      <c r="BC78" s="72"/>
      <c r="BD78" s="92" t="str">
        <f t="shared" si="2"/>
        <v/>
      </c>
      <c r="BE78" s="93"/>
      <c r="BF78" s="93"/>
      <c r="BG78" s="93"/>
      <c r="BH78" s="94"/>
      <c r="BI78" s="90" t="str">
        <f t="shared" si="3"/>
        <v/>
      </c>
      <c r="BJ78" s="90"/>
      <c r="BK78" s="90"/>
      <c r="BL78" s="90"/>
      <c r="BM78" s="90"/>
      <c r="BN78" s="90"/>
      <c r="BO78" s="91"/>
    </row>
    <row r="79" spans="1:67" ht="20.25" customHeight="1" x14ac:dyDescent="0.35">
      <c r="A79" s="69" t="str">
        <f>IFERROR(VLOOKUP(I79,#REF!,2,FALSE),"")</f>
        <v/>
      </c>
      <c r="B79" s="70"/>
      <c r="C79" s="70"/>
      <c r="D79" s="70"/>
      <c r="E79" s="70"/>
      <c r="F79" s="70"/>
      <c r="G79" s="70"/>
      <c r="H79" s="71"/>
      <c r="I79" s="96" t="str">
        <f>IFERROR(IF(VLOOKUP($C$9,#REF!,114,FALSE)="","",VLOOKUP($C$9,#REF!,114,FALSE)),"")</f>
        <v/>
      </c>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8"/>
      <c r="AT79" s="110" t="str">
        <f>IFERROR(IF(VLOOKUP($C$9,#REF!,115,FALSE)="","",VLOOKUP($C$9,#REF!,115,FALSE)),"")</f>
        <v/>
      </c>
      <c r="AU79" s="110"/>
      <c r="AV79" s="110"/>
      <c r="AW79" s="110"/>
      <c r="AX79" s="110"/>
      <c r="AY79" s="110" t="str">
        <f>IFERROR(IF(VLOOKUP($C$9,#REF!,116,FALSE)="","",VLOOKUP($C$9,#REF!,116,FALSE)),"")</f>
        <v/>
      </c>
      <c r="AZ79" s="110"/>
      <c r="BA79" s="110"/>
      <c r="BB79" s="110"/>
      <c r="BC79" s="110"/>
      <c r="BD79" s="92" t="str">
        <f t="shared" si="2"/>
        <v/>
      </c>
      <c r="BE79" s="93"/>
      <c r="BF79" s="93"/>
      <c r="BG79" s="93"/>
      <c r="BH79" s="94"/>
      <c r="BI79" s="90" t="str">
        <f t="shared" si="3"/>
        <v/>
      </c>
      <c r="BJ79" s="90"/>
      <c r="BK79" s="90"/>
      <c r="BL79" s="90"/>
      <c r="BM79" s="90"/>
      <c r="BN79" s="90"/>
      <c r="BO79" s="91"/>
    </row>
    <row r="80" spans="1:67" ht="20.25" customHeight="1" x14ac:dyDescent="0.35">
      <c r="A80" s="69" t="str">
        <f>IFERROR(VLOOKUP(I80,#REF!,2,FALSE),"")</f>
        <v/>
      </c>
      <c r="B80" s="70"/>
      <c r="C80" s="70"/>
      <c r="D80" s="70"/>
      <c r="E80" s="70"/>
      <c r="F80" s="70"/>
      <c r="G80" s="70"/>
      <c r="H80" s="71"/>
      <c r="I80" s="96" t="str">
        <f>IFERROR(IF(VLOOKUP($C$9,#REF!,118,FALSE)="","",VLOOKUP($C$9,#REF!,118,FALSE)),"")</f>
        <v/>
      </c>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8"/>
      <c r="AT80" s="95" t="str">
        <f>IFERROR(IF(VLOOKUP($C$9,#REF!,119,FALSE)="","",VLOOKUP($C$9,#REF!,119,FALSE)),"")</f>
        <v/>
      </c>
      <c r="AU80" s="70"/>
      <c r="AV80" s="70"/>
      <c r="AW80" s="70"/>
      <c r="AX80" s="71"/>
      <c r="AY80" s="95" t="str">
        <f>IFERROR(IF(VLOOKUP($C$9,#REF!,120,FALSE)="","",VLOOKUP($C$9,#REF!,120,FALSE)),"")</f>
        <v/>
      </c>
      <c r="AZ80" s="70"/>
      <c r="BA80" s="70"/>
      <c r="BB80" s="70"/>
      <c r="BC80" s="71"/>
      <c r="BD80" s="92" t="str">
        <f t="shared" si="2"/>
        <v/>
      </c>
      <c r="BE80" s="93"/>
      <c r="BF80" s="93"/>
      <c r="BG80" s="93"/>
      <c r="BH80" s="94"/>
      <c r="BI80" s="90" t="str">
        <f t="shared" si="3"/>
        <v/>
      </c>
      <c r="BJ80" s="90"/>
      <c r="BK80" s="90"/>
      <c r="BL80" s="90"/>
      <c r="BM80" s="90"/>
      <c r="BN80" s="90"/>
      <c r="BO80" s="91"/>
    </row>
    <row r="81" spans="1:67" ht="20.25" customHeight="1" x14ac:dyDescent="0.35">
      <c r="A81" s="69" t="str">
        <f>IFERROR(VLOOKUP(I81,#REF!,2,FALSE),"")</f>
        <v/>
      </c>
      <c r="B81" s="70"/>
      <c r="C81" s="70"/>
      <c r="D81" s="70"/>
      <c r="E81" s="70"/>
      <c r="F81" s="70"/>
      <c r="G81" s="70"/>
      <c r="H81" s="71"/>
      <c r="I81" s="96" t="str">
        <f>IFERROR(IF(VLOOKUP($C$9,#REF!,122,FALSE)="","",VLOOKUP($C$9,#REF!,122,FALSE)),"")</f>
        <v/>
      </c>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8"/>
      <c r="AT81" s="95" t="str">
        <f>IFERROR(IF(VLOOKUP($C$9,#REF!,123,FALSE)="","",VLOOKUP($C$9,#REF!,123,FALSE)),"")</f>
        <v/>
      </c>
      <c r="AU81" s="70"/>
      <c r="AV81" s="70"/>
      <c r="AW81" s="70"/>
      <c r="AX81" s="71"/>
      <c r="AY81" s="95" t="str">
        <f>IFERROR(IF(VLOOKUP($C$9,#REF!,124,FALSE)="","",VLOOKUP($C$9,#REF!,124,FALSE)),"")</f>
        <v/>
      </c>
      <c r="AZ81" s="70"/>
      <c r="BA81" s="70"/>
      <c r="BB81" s="70"/>
      <c r="BC81" s="71"/>
      <c r="BD81" s="92" t="str">
        <f t="shared" si="2"/>
        <v/>
      </c>
      <c r="BE81" s="93"/>
      <c r="BF81" s="93"/>
      <c r="BG81" s="93"/>
      <c r="BH81" s="94"/>
      <c r="BI81" s="90" t="str">
        <f t="shared" si="3"/>
        <v/>
      </c>
      <c r="BJ81" s="90"/>
      <c r="BK81" s="90"/>
      <c r="BL81" s="90"/>
      <c r="BM81" s="90"/>
      <c r="BN81" s="90"/>
      <c r="BO81" s="91"/>
    </row>
    <row r="82" spans="1:67" ht="20.25" customHeight="1" x14ac:dyDescent="0.35">
      <c r="A82" s="69" t="str">
        <f>IFERROR(VLOOKUP(I82,#REF!,2,FALSE),"")</f>
        <v/>
      </c>
      <c r="B82" s="70"/>
      <c r="C82" s="70"/>
      <c r="D82" s="70"/>
      <c r="E82" s="70"/>
      <c r="F82" s="70"/>
      <c r="G82" s="70"/>
      <c r="H82" s="71"/>
      <c r="I82" s="96" t="str">
        <f>IFERROR(IF(VLOOKUP($C$9,#REF!,126,FALSE)="","",VLOOKUP($C$9,#REF!,126,FALSE)),"")</f>
        <v/>
      </c>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8"/>
      <c r="AT82" s="95" t="str">
        <f>IFERROR(IF(VLOOKUP($C$9,#REF!,127,FALSE)="","",VLOOKUP($C$9,#REF!,127,FALSE)),"")</f>
        <v/>
      </c>
      <c r="AU82" s="70"/>
      <c r="AV82" s="70"/>
      <c r="AW82" s="70"/>
      <c r="AX82" s="71"/>
      <c r="AY82" s="95" t="str">
        <f>IFERROR(IF(VLOOKUP($C$9,#REF!,128,FALSE)="","",VLOOKUP($C$9,#REF!,128,FALSE)),"")</f>
        <v/>
      </c>
      <c r="AZ82" s="70"/>
      <c r="BA82" s="70"/>
      <c r="BB82" s="70"/>
      <c r="BC82" s="71"/>
      <c r="BD82" s="92" t="str">
        <f t="shared" si="2"/>
        <v/>
      </c>
      <c r="BE82" s="93"/>
      <c r="BF82" s="93"/>
      <c r="BG82" s="93"/>
      <c r="BH82" s="94"/>
      <c r="BI82" s="90" t="str">
        <f t="shared" si="3"/>
        <v/>
      </c>
      <c r="BJ82" s="90"/>
      <c r="BK82" s="90"/>
      <c r="BL82" s="90"/>
      <c r="BM82" s="90"/>
      <c r="BN82" s="90"/>
      <c r="BO82" s="91"/>
    </row>
    <row r="83" spans="1:67" ht="20.25" customHeight="1" x14ac:dyDescent="0.35">
      <c r="A83" s="69" t="str">
        <f>IFERROR(VLOOKUP(I83,#REF!,2,FALSE),"")</f>
        <v/>
      </c>
      <c r="B83" s="70"/>
      <c r="C83" s="70"/>
      <c r="D83" s="70"/>
      <c r="E83" s="70"/>
      <c r="F83" s="70"/>
      <c r="G83" s="70"/>
      <c r="H83" s="71"/>
      <c r="I83" s="75" t="str">
        <f>IFERROR(IF(VLOOKUP($C$9,#REF!,130,FALSE)="","",VLOOKUP($C$9,#REF!,130,FALSE)),"")</f>
        <v/>
      </c>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7"/>
      <c r="AT83" s="95" t="str">
        <f>IFERROR(IF(VLOOKUP($C$9,#REF!,131,FALSE)="","",VLOOKUP($C$9,#REF!,131,FALSE)),"")</f>
        <v/>
      </c>
      <c r="AU83" s="70"/>
      <c r="AV83" s="70"/>
      <c r="AW83" s="70"/>
      <c r="AX83" s="71"/>
      <c r="AY83" s="95" t="str">
        <f>IFERROR(IF(VLOOKUP($C$9,#REF!,132,FALSE)="","",VLOOKUP($C$9,#REF!,132,FALSE)),"")</f>
        <v/>
      </c>
      <c r="AZ83" s="70"/>
      <c r="BA83" s="70"/>
      <c r="BB83" s="70"/>
      <c r="BC83" s="71"/>
      <c r="BD83" s="92" t="str">
        <f t="shared" si="2"/>
        <v/>
      </c>
      <c r="BE83" s="93"/>
      <c r="BF83" s="93"/>
      <c r="BG83" s="93"/>
      <c r="BH83" s="94"/>
      <c r="BI83" s="90" t="str">
        <f t="shared" si="3"/>
        <v/>
      </c>
      <c r="BJ83" s="90"/>
      <c r="BK83" s="90"/>
      <c r="BL83" s="90"/>
      <c r="BM83" s="90"/>
      <c r="BN83" s="90"/>
      <c r="BO83" s="91"/>
    </row>
    <row r="84" spans="1:67" ht="20.25" customHeight="1" x14ac:dyDescent="0.35">
      <c r="A84" s="69" t="str">
        <f>IFERROR(VLOOKUP(I84,#REF!,2,FALSE),"")</f>
        <v/>
      </c>
      <c r="B84" s="70"/>
      <c r="C84" s="70"/>
      <c r="D84" s="70"/>
      <c r="E84" s="70"/>
      <c r="F84" s="70"/>
      <c r="G84" s="70"/>
      <c r="H84" s="71"/>
      <c r="I84" s="75" t="str">
        <f>IFERROR(IF(VLOOKUP($C$9,#REF!,134,FALSE)="","",VLOOKUP($C$9,#REF!,134,FALSE)),"")</f>
        <v/>
      </c>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7"/>
      <c r="AT84" s="146" t="str">
        <f>IFERROR(IF(VLOOKUP($C$9,#REF!,135,FALSE)="","",VLOOKUP($C$9,#REF!,135,FALSE)),"")</f>
        <v/>
      </c>
      <c r="AU84" s="146"/>
      <c r="AV84" s="146"/>
      <c r="AW84" s="146"/>
      <c r="AX84" s="146"/>
      <c r="AY84" s="146" t="str">
        <f>IFERROR(IF(VLOOKUP($C$9,#REF!,136,FALSE)="","",VLOOKUP($C$9,#REF!,136,FALSE)),"")</f>
        <v/>
      </c>
      <c r="AZ84" s="146"/>
      <c r="BA84" s="146"/>
      <c r="BB84" s="146"/>
      <c r="BC84" s="146"/>
      <c r="BD84" s="92" t="str">
        <f t="shared" si="2"/>
        <v/>
      </c>
      <c r="BE84" s="93"/>
      <c r="BF84" s="93"/>
      <c r="BG84" s="93"/>
      <c r="BH84" s="94"/>
      <c r="BI84" s="90" t="str">
        <f t="shared" si="3"/>
        <v/>
      </c>
      <c r="BJ84" s="90"/>
      <c r="BK84" s="90"/>
      <c r="BL84" s="90"/>
      <c r="BM84" s="90"/>
      <c r="BN84" s="90"/>
      <c r="BO84" s="91"/>
    </row>
    <row r="85" spans="1:67" ht="20.25" customHeight="1" x14ac:dyDescent="0.35">
      <c r="A85" s="69" t="str">
        <f>IFERROR(VLOOKUP(I85,#REF!,2,FALSE),"")</f>
        <v/>
      </c>
      <c r="B85" s="70"/>
      <c r="C85" s="70"/>
      <c r="D85" s="70"/>
      <c r="E85" s="70"/>
      <c r="F85" s="70"/>
      <c r="G85" s="70"/>
      <c r="H85" s="71"/>
      <c r="I85" s="75" t="str">
        <f>IFERROR(IF(VLOOKUP($C$9,#REF!,138,FALSE)="","",VLOOKUP($C$9,#REF!,138,FALSE)),"")</f>
        <v/>
      </c>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7"/>
      <c r="AT85" s="72" t="str">
        <f>IFERROR(IF(VLOOKUP($C$9,#REF!,139,FALSE)="","",VLOOKUP($C$9,#REF!,139,FALSE)),"")</f>
        <v/>
      </c>
      <c r="AU85" s="72"/>
      <c r="AV85" s="72"/>
      <c r="AW85" s="72"/>
      <c r="AX85" s="72"/>
      <c r="AY85" s="72" t="str">
        <f>IFERROR(IF(VLOOKUP($C$9,#REF!,140,FALSE)="","",VLOOKUP($C$9,#REF!,140,FALSE)),"")</f>
        <v/>
      </c>
      <c r="AZ85" s="72"/>
      <c r="BA85" s="72"/>
      <c r="BB85" s="72"/>
      <c r="BC85" s="72"/>
      <c r="BD85" s="92" t="str">
        <f t="shared" si="2"/>
        <v/>
      </c>
      <c r="BE85" s="93"/>
      <c r="BF85" s="93"/>
      <c r="BG85" s="93"/>
      <c r="BH85" s="94"/>
      <c r="BI85" s="90" t="str">
        <f t="shared" si="3"/>
        <v/>
      </c>
      <c r="BJ85" s="90"/>
      <c r="BK85" s="90"/>
      <c r="BL85" s="90"/>
      <c r="BM85" s="90"/>
      <c r="BN85" s="90"/>
      <c r="BO85" s="91"/>
    </row>
    <row r="86" spans="1:67" ht="20.25" customHeight="1" thickBot="1" x14ac:dyDescent="0.4">
      <c r="A86" s="78" t="s">
        <v>42</v>
      </c>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80"/>
      <c r="BD86" s="138" t="str">
        <f>IFERROR(ROUND((SUM(BD74:BD85,BD101:BD104)-SUM(AT101:AT104))/(COUNTA(BD74:BD85)-COUNTBLANK(BD74:BD85)),0),"")</f>
        <v/>
      </c>
      <c r="BE86" s="139"/>
      <c r="BF86" s="139"/>
      <c r="BG86" s="139"/>
      <c r="BH86" s="140"/>
      <c r="BI86" s="147" t="str">
        <f>IF(BD86="","",IF(BD86&gt;=75,"PASSED","FAILED"))</f>
        <v/>
      </c>
      <c r="BJ86" s="148"/>
      <c r="BK86" s="148"/>
      <c r="BL86" s="148"/>
      <c r="BM86" s="148"/>
      <c r="BN86" s="148"/>
      <c r="BO86" s="149"/>
    </row>
    <row r="87" spans="1:67" ht="3" customHeight="1" x14ac:dyDescent="0.35">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row>
    <row r="88" spans="1:67" ht="16" customHeight="1" x14ac:dyDescent="0.35">
      <c r="A88" s="42" t="s">
        <v>43</v>
      </c>
      <c r="B88" s="42"/>
      <c r="C88" s="42"/>
      <c r="D88" s="42"/>
      <c r="E88" s="42"/>
      <c r="F88" s="142" t="str">
        <f>IFERROR(IF(VLOOKUP($C$9,#REF!,143,FALSE)="","",VLOOKUP($C$9,#REF!,143,FALSE)),"")</f>
        <v/>
      </c>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row>
    <row r="89" spans="1:67" ht="3" customHeight="1" x14ac:dyDescent="0.35">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row>
    <row r="90" spans="1:67" ht="16" customHeight="1" x14ac:dyDescent="0.35">
      <c r="A90" s="42" t="s">
        <v>44</v>
      </c>
      <c r="B90" s="42"/>
      <c r="C90" s="42"/>
      <c r="D90" s="42"/>
      <c r="E90" s="42"/>
      <c r="V90" s="42" t="s">
        <v>45</v>
      </c>
      <c r="W90" s="42"/>
      <c r="X90" s="42"/>
      <c r="Y90" s="42"/>
      <c r="Z90" s="42"/>
      <c r="AA90" s="42"/>
      <c r="AB90" s="42"/>
      <c r="AC90" s="42"/>
      <c r="AD90" s="42"/>
      <c r="AE90" s="42"/>
      <c r="AF90" s="4"/>
      <c r="AG90" s="67"/>
      <c r="AH90" s="67"/>
      <c r="AI90" s="67"/>
      <c r="AJ90" s="67"/>
      <c r="AK90" s="67"/>
      <c r="AL90" s="67"/>
      <c r="AM90" s="67"/>
      <c r="AN90" s="67"/>
      <c r="AO90" s="67"/>
      <c r="AP90" s="67"/>
      <c r="AQ90" s="67"/>
      <c r="AR90" s="67"/>
      <c r="AS90" s="67"/>
      <c r="AT90" s="67"/>
      <c r="AV90" s="4"/>
      <c r="AW90" s="4"/>
      <c r="AX90" s="4"/>
      <c r="AY90" s="4"/>
      <c r="AZ90" s="4" t="s">
        <v>46</v>
      </c>
      <c r="BA90" s="4"/>
      <c r="BB90" s="4"/>
      <c r="BC90" s="4"/>
      <c r="BD90" s="4"/>
      <c r="BE90" s="4"/>
      <c r="BF90" s="4"/>
    </row>
    <row r="91" spans="1:67" ht="16" customHeight="1" x14ac:dyDescent="0.35">
      <c r="A91" s="68"/>
      <c r="B91" s="68"/>
      <c r="C91" s="68"/>
      <c r="D91" s="68"/>
      <c r="E91" s="68"/>
      <c r="F91" s="68"/>
      <c r="G91" s="68"/>
      <c r="H91" s="68"/>
      <c r="I91" s="68"/>
      <c r="J91" s="68"/>
      <c r="K91" s="68"/>
      <c r="L91" s="68"/>
      <c r="M91" s="68"/>
      <c r="N91" s="68"/>
      <c r="O91" s="68"/>
      <c r="P91" s="68"/>
      <c r="Q91" s="68"/>
      <c r="R91" s="4"/>
      <c r="S91" s="4"/>
      <c r="T91" s="4"/>
      <c r="U91" s="4"/>
      <c r="V91" s="4"/>
      <c r="W91" s="4"/>
      <c r="X91" s="4"/>
      <c r="Y91" s="67"/>
      <c r="Z91" s="67"/>
      <c r="AA91" s="67"/>
      <c r="AB91" s="67"/>
      <c r="AC91" s="67"/>
      <c r="AD91" s="67"/>
      <c r="AE91" s="67"/>
      <c r="AF91" s="67"/>
      <c r="AG91" s="67"/>
      <c r="AH91" s="67"/>
      <c r="AI91" s="67"/>
      <c r="AJ91" s="67"/>
      <c r="AK91" s="67"/>
      <c r="AL91" s="67"/>
      <c r="AM91" s="67"/>
      <c r="AN91" s="67"/>
      <c r="AO91" s="67"/>
      <c r="AP91" s="4"/>
      <c r="AQ91" s="4"/>
      <c r="AR91" s="4"/>
      <c r="AS91" s="4"/>
      <c r="AU91" s="68"/>
      <c r="AV91" s="68"/>
      <c r="AW91" s="68"/>
      <c r="AX91" s="68"/>
      <c r="AY91" s="68"/>
      <c r="AZ91" s="68"/>
      <c r="BA91" s="68"/>
      <c r="BB91" s="68"/>
      <c r="BC91" s="68"/>
      <c r="BD91" s="68"/>
    </row>
    <row r="92" spans="1:67" ht="16" customHeight="1" x14ac:dyDescent="0.35">
      <c r="A92" s="81">
        <f>A49</f>
        <v>0</v>
      </c>
      <c r="B92" s="81"/>
      <c r="C92" s="81"/>
      <c r="D92" s="81"/>
      <c r="E92" s="81"/>
      <c r="F92" s="81"/>
      <c r="G92" s="81"/>
      <c r="H92" s="81"/>
      <c r="I92" s="81"/>
      <c r="J92" s="81"/>
      <c r="K92" s="81"/>
      <c r="L92" s="81"/>
      <c r="M92" s="81"/>
      <c r="N92" s="81"/>
      <c r="O92" s="81"/>
      <c r="P92" s="81"/>
      <c r="Q92" s="81"/>
      <c r="R92" s="81"/>
      <c r="S92" s="81"/>
      <c r="Y92" s="81" t="str">
        <f>Y49</f>
        <v>HEIDEE R. PAGULAYAN, Registrar I</v>
      </c>
      <c r="Z92" s="81"/>
      <c r="AA92" s="81"/>
      <c r="AB92" s="81"/>
      <c r="AC92" s="81"/>
      <c r="AD92" s="81"/>
      <c r="AE92" s="81"/>
      <c r="AF92" s="81"/>
      <c r="AG92" s="81"/>
      <c r="AH92" s="81"/>
      <c r="AI92" s="81"/>
      <c r="AJ92" s="81"/>
      <c r="AK92" s="81"/>
      <c r="AL92" s="81"/>
      <c r="AM92" s="81"/>
      <c r="AN92" s="81"/>
      <c r="AO92" s="81"/>
      <c r="AP92" s="81"/>
      <c r="AQ92" s="81"/>
      <c r="AR92" s="81"/>
      <c r="AS92" s="81"/>
      <c r="AU92" s="29"/>
      <c r="AV92" s="29"/>
      <c r="AW92" s="29"/>
      <c r="AX92" s="29"/>
      <c r="AY92" s="29"/>
      <c r="AZ92" s="82"/>
      <c r="BA92" s="82"/>
      <c r="BB92" s="82"/>
      <c r="BC92" s="82"/>
      <c r="BD92" s="82"/>
      <c r="BE92" s="82"/>
      <c r="BF92" s="82"/>
      <c r="BG92" s="82"/>
      <c r="BH92" s="82"/>
      <c r="BI92" s="82"/>
      <c r="BJ92" s="82"/>
      <c r="BK92" s="82"/>
      <c r="BL92" s="82"/>
      <c r="BM92" s="82"/>
      <c r="BN92" s="82"/>
      <c r="BO92" s="82"/>
    </row>
    <row r="93" spans="1:67" x14ac:dyDescent="0.35">
      <c r="A93" s="83" t="s">
        <v>47</v>
      </c>
      <c r="B93" s="83"/>
      <c r="C93" s="83"/>
      <c r="D93" s="83"/>
      <c r="E93" s="83"/>
      <c r="F93" s="83"/>
      <c r="G93" s="83"/>
      <c r="H93" s="83"/>
      <c r="I93" s="83"/>
      <c r="J93" s="83"/>
      <c r="K93" s="83"/>
      <c r="L93" s="83"/>
      <c r="M93" s="83"/>
      <c r="N93" s="83"/>
      <c r="O93" s="83"/>
      <c r="P93" s="83"/>
      <c r="Q93" s="83"/>
      <c r="R93" s="83"/>
      <c r="S93" s="83"/>
      <c r="T93" s="4"/>
      <c r="U93" s="4"/>
      <c r="Y93" s="83" t="s">
        <v>48</v>
      </c>
      <c r="Z93" s="83"/>
      <c r="AA93" s="83"/>
      <c r="AB93" s="83"/>
      <c r="AC93" s="83"/>
      <c r="AD93" s="83"/>
      <c r="AE93" s="83"/>
      <c r="AF93" s="83"/>
      <c r="AG93" s="83"/>
      <c r="AH93" s="83"/>
      <c r="AI93" s="83"/>
      <c r="AJ93" s="83"/>
      <c r="AK93" s="83"/>
      <c r="AL93" s="83"/>
      <c r="AM93" s="83"/>
      <c r="AN93" s="83"/>
      <c r="AO93" s="83"/>
      <c r="AP93" s="83"/>
      <c r="AQ93" s="83"/>
      <c r="AR93" s="83"/>
      <c r="AS93" s="83"/>
    </row>
    <row r="94" spans="1:67" ht="9" customHeight="1" x14ac:dyDescent="0.35"/>
    <row r="95" spans="1:67" x14ac:dyDescent="0.35">
      <c r="A95" s="4" t="s">
        <v>49</v>
      </c>
      <c r="B95" s="4"/>
      <c r="C95" s="4"/>
      <c r="D95" s="4"/>
      <c r="E95" s="4"/>
      <c r="F95" s="4"/>
      <c r="G95" s="4"/>
      <c r="H95" s="4"/>
      <c r="I95" s="65" t="s">
        <v>50</v>
      </c>
      <c r="J95" s="65"/>
      <c r="K95" s="65"/>
      <c r="L95" s="65"/>
      <c r="M95" s="65"/>
      <c r="N95" s="65"/>
      <c r="O95" s="65"/>
      <c r="P95" s="65"/>
      <c r="Q95" s="65"/>
      <c r="R95" s="65"/>
      <c r="S95" s="87"/>
      <c r="T95" s="87"/>
      <c r="U95" s="87"/>
      <c r="V95" s="87"/>
      <c r="W95" s="65" t="s">
        <v>51</v>
      </c>
      <c r="X95" s="65"/>
      <c r="Y95" s="65"/>
      <c r="Z95" s="65"/>
      <c r="AA95" s="65"/>
      <c r="AB95" s="65"/>
      <c r="AC95" s="87"/>
      <c r="AD95" s="87"/>
      <c r="AE95" s="87"/>
      <c r="AF95" s="87"/>
      <c r="AH95" s="65" t="s">
        <v>32</v>
      </c>
      <c r="AI95" s="65"/>
      <c r="AJ95" s="65"/>
      <c r="AK95" s="65"/>
      <c r="AL95" s="66"/>
      <c r="AM95" s="66"/>
      <c r="AN95" s="66"/>
      <c r="AO95" s="66"/>
      <c r="AP95" s="66"/>
      <c r="AQ95" s="66"/>
      <c r="AR95" s="66"/>
      <c r="AS95" s="66"/>
      <c r="AT95" s="66"/>
      <c r="AU95" s="66"/>
      <c r="AV95" s="66"/>
      <c r="AW95" s="66"/>
      <c r="AX95" s="66"/>
      <c r="AY95" s="66"/>
      <c r="AZ95" s="66"/>
      <c r="BA95" s="66"/>
      <c r="BB95" s="66"/>
      <c r="BC95" s="66"/>
      <c r="BD95" s="66"/>
      <c r="BE95" s="66"/>
      <c r="BF95" s="67" t="s">
        <v>33</v>
      </c>
      <c r="BG95" s="67"/>
      <c r="BH95" s="67"/>
      <c r="BI95" s="67"/>
      <c r="BJ95" s="67"/>
      <c r="BK95" s="66"/>
      <c r="BL95" s="66"/>
      <c r="BM95" s="66"/>
      <c r="BN95" s="66"/>
      <c r="BO95" s="66"/>
    </row>
    <row r="96" spans="1:67" ht="3" customHeight="1" thickBot="1" x14ac:dyDescent="0.4">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row>
    <row r="97" spans="1:67" ht="12" customHeight="1" x14ac:dyDescent="0.35">
      <c r="A97" s="47" t="s">
        <v>39</v>
      </c>
      <c r="B97" s="48"/>
      <c r="C97" s="48"/>
      <c r="D97" s="48"/>
      <c r="E97" s="48"/>
      <c r="F97" s="48"/>
      <c r="G97" s="48"/>
      <c r="H97" s="49"/>
      <c r="I97" s="56" t="s">
        <v>3</v>
      </c>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8"/>
      <c r="AT97" s="84" t="s">
        <v>40</v>
      </c>
      <c r="AU97" s="48"/>
      <c r="AV97" s="48"/>
      <c r="AW97" s="48"/>
      <c r="AX97" s="49"/>
      <c r="AY97" s="48" t="s">
        <v>52</v>
      </c>
      <c r="AZ97" s="48"/>
      <c r="BA97" s="48"/>
      <c r="BB97" s="48"/>
      <c r="BC97" s="49"/>
      <c r="BD97" s="43" t="s">
        <v>53</v>
      </c>
      <c r="BE97" s="43"/>
      <c r="BF97" s="43"/>
      <c r="BG97" s="43"/>
      <c r="BH97" s="43"/>
      <c r="BI97" s="43" t="s">
        <v>41</v>
      </c>
      <c r="BJ97" s="43"/>
      <c r="BK97" s="43"/>
      <c r="BL97" s="43"/>
      <c r="BM97" s="43"/>
      <c r="BN97" s="43"/>
      <c r="BO97" s="45"/>
    </row>
    <row r="98" spans="1:67" ht="12" customHeight="1" x14ac:dyDescent="0.35">
      <c r="A98" s="50"/>
      <c r="B98" s="51"/>
      <c r="C98" s="51"/>
      <c r="D98" s="51"/>
      <c r="E98" s="51"/>
      <c r="F98" s="51"/>
      <c r="G98" s="51"/>
      <c r="H98" s="52"/>
      <c r="I98" s="59"/>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1"/>
      <c r="AT98" s="85"/>
      <c r="AU98" s="51"/>
      <c r="AV98" s="51"/>
      <c r="AW98" s="51"/>
      <c r="AX98" s="52"/>
      <c r="AY98" s="51"/>
      <c r="AZ98" s="51"/>
      <c r="BA98" s="51"/>
      <c r="BB98" s="51"/>
      <c r="BC98" s="52"/>
      <c r="BD98" s="44"/>
      <c r="BE98" s="44"/>
      <c r="BF98" s="44"/>
      <c r="BG98" s="44"/>
      <c r="BH98" s="44"/>
      <c r="BI98" s="44"/>
      <c r="BJ98" s="44"/>
      <c r="BK98" s="44"/>
      <c r="BL98" s="44"/>
      <c r="BM98" s="44"/>
      <c r="BN98" s="44"/>
      <c r="BO98" s="46"/>
    </row>
    <row r="99" spans="1:67" ht="12" customHeight="1" x14ac:dyDescent="0.35">
      <c r="A99" s="50"/>
      <c r="B99" s="51"/>
      <c r="C99" s="51"/>
      <c r="D99" s="51"/>
      <c r="E99" s="51"/>
      <c r="F99" s="51"/>
      <c r="G99" s="51"/>
      <c r="H99" s="52"/>
      <c r="I99" s="59"/>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1"/>
      <c r="AT99" s="85"/>
      <c r="AU99" s="51"/>
      <c r="AV99" s="51"/>
      <c r="AW99" s="51"/>
      <c r="AX99" s="52"/>
      <c r="AY99" s="51"/>
      <c r="AZ99" s="51"/>
      <c r="BA99" s="51"/>
      <c r="BB99" s="51"/>
      <c r="BC99" s="52"/>
      <c r="BD99" s="44"/>
      <c r="BE99" s="44"/>
      <c r="BF99" s="44"/>
      <c r="BG99" s="44"/>
      <c r="BH99" s="44"/>
      <c r="BI99" s="44"/>
      <c r="BJ99" s="44"/>
      <c r="BK99" s="44"/>
      <c r="BL99" s="44"/>
      <c r="BM99" s="44"/>
      <c r="BN99" s="44"/>
      <c r="BO99" s="46"/>
    </row>
    <row r="100" spans="1:67" ht="12" customHeight="1" x14ac:dyDescent="0.35">
      <c r="A100" s="53"/>
      <c r="B100" s="54"/>
      <c r="C100" s="54"/>
      <c r="D100" s="54"/>
      <c r="E100" s="54"/>
      <c r="F100" s="54"/>
      <c r="G100" s="54"/>
      <c r="H100" s="55"/>
      <c r="I100" s="62"/>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4"/>
      <c r="AT100" s="86"/>
      <c r="AU100" s="54"/>
      <c r="AV100" s="54"/>
      <c r="AW100" s="54"/>
      <c r="AX100" s="55"/>
      <c r="AY100" s="54"/>
      <c r="AZ100" s="54"/>
      <c r="BA100" s="54"/>
      <c r="BB100" s="54"/>
      <c r="BC100" s="55"/>
      <c r="BD100" s="44"/>
      <c r="BE100" s="44"/>
      <c r="BF100" s="44"/>
      <c r="BG100" s="44"/>
      <c r="BH100" s="44"/>
      <c r="BI100" s="44"/>
      <c r="BJ100" s="44"/>
      <c r="BK100" s="44"/>
      <c r="BL100" s="44"/>
      <c r="BM100" s="44"/>
      <c r="BN100" s="44"/>
      <c r="BO100" s="46"/>
    </row>
    <row r="101" spans="1:67" ht="19" customHeight="1" x14ac:dyDescent="0.35">
      <c r="A101" s="69"/>
      <c r="B101" s="70"/>
      <c r="C101" s="70"/>
      <c r="D101" s="70"/>
      <c r="E101" s="70"/>
      <c r="F101" s="70"/>
      <c r="G101" s="70"/>
      <c r="H101" s="71"/>
      <c r="I101" s="75"/>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7"/>
      <c r="AT101" s="72"/>
      <c r="AU101" s="72"/>
      <c r="AV101" s="72"/>
      <c r="AW101" s="72"/>
      <c r="AX101" s="72"/>
      <c r="AY101" s="72"/>
      <c r="AZ101" s="72"/>
      <c r="BA101" s="72"/>
      <c r="BB101" s="72"/>
      <c r="BC101" s="72"/>
      <c r="BD101" s="73" t="str">
        <f>IF(OR(AT101="",AY101=""),"",IF(ISERROR(ROUND(AVERAGE(AT101,AY101),0)),"",ROUND(AVERAGE(AT101,AY101),0)))</f>
        <v/>
      </c>
      <c r="BE101" s="73"/>
      <c r="BF101" s="73"/>
      <c r="BG101" s="73"/>
      <c r="BH101" s="73"/>
      <c r="BI101" s="73" t="str">
        <f>IF(OR(AT101="",AY101="",BD101=""),"",IF(BD101&gt;=75,"PASSED","FAILED"))</f>
        <v/>
      </c>
      <c r="BJ101" s="73"/>
      <c r="BK101" s="73"/>
      <c r="BL101" s="73"/>
      <c r="BM101" s="73"/>
      <c r="BN101" s="73"/>
      <c r="BO101" s="74"/>
    </row>
    <row r="102" spans="1:67" ht="19" customHeight="1" x14ac:dyDescent="0.35">
      <c r="A102" s="69"/>
      <c r="B102" s="70"/>
      <c r="C102" s="70"/>
      <c r="D102" s="70"/>
      <c r="E102" s="70"/>
      <c r="F102" s="70"/>
      <c r="G102" s="70"/>
      <c r="H102" s="71"/>
      <c r="I102" s="75"/>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7"/>
      <c r="AT102" s="72"/>
      <c r="AU102" s="72"/>
      <c r="AV102" s="72"/>
      <c r="AW102" s="72"/>
      <c r="AX102" s="72"/>
      <c r="AY102" s="72"/>
      <c r="AZ102" s="72"/>
      <c r="BA102" s="72"/>
      <c r="BB102" s="72"/>
      <c r="BC102" s="72"/>
      <c r="BD102" s="73" t="str">
        <f>IF(OR(AT102="",AY102=""),"",IF(ISERROR(ROUND(AVERAGE(AT102,AY102),0)),"",ROUND(AVERAGE(AT102,AY102),0)))</f>
        <v/>
      </c>
      <c r="BE102" s="73"/>
      <c r="BF102" s="73"/>
      <c r="BG102" s="73"/>
      <c r="BH102" s="73"/>
      <c r="BI102" s="73" t="str">
        <f>IF(OR(AT102="",AY102="",BD102=""),"",IF(BD102&gt;=75,"PASSED","FAILED"))</f>
        <v/>
      </c>
      <c r="BJ102" s="73"/>
      <c r="BK102" s="73"/>
      <c r="BL102" s="73"/>
      <c r="BM102" s="73"/>
      <c r="BN102" s="73"/>
      <c r="BO102" s="74"/>
    </row>
    <row r="103" spans="1:67" ht="19" customHeight="1" x14ac:dyDescent="0.35">
      <c r="A103" s="69"/>
      <c r="B103" s="70"/>
      <c r="C103" s="70"/>
      <c r="D103" s="70"/>
      <c r="E103" s="70"/>
      <c r="F103" s="70"/>
      <c r="G103" s="70"/>
      <c r="H103" s="71"/>
      <c r="I103" s="75"/>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7"/>
      <c r="AT103" s="72"/>
      <c r="AU103" s="72"/>
      <c r="AV103" s="72"/>
      <c r="AW103" s="72"/>
      <c r="AX103" s="72"/>
      <c r="AY103" s="72"/>
      <c r="AZ103" s="72"/>
      <c r="BA103" s="72"/>
      <c r="BB103" s="72"/>
      <c r="BC103" s="72"/>
      <c r="BD103" s="73" t="str">
        <f>IF(OR(AT103="",AY103=""),"",IF(ISERROR(ROUND(AVERAGE(AT103,AY103),0)),"",ROUND(AVERAGE(AT103,AY103),0)))</f>
        <v/>
      </c>
      <c r="BE103" s="73"/>
      <c r="BF103" s="73"/>
      <c r="BG103" s="73"/>
      <c r="BH103" s="73"/>
      <c r="BI103" s="73" t="str">
        <f>IF(OR(AT103="",AY103="",BD103=""),"",IF(BD103&gt;=75,"PASSED","FAILED"))</f>
        <v/>
      </c>
      <c r="BJ103" s="73"/>
      <c r="BK103" s="73"/>
      <c r="BL103" s="73"/>
      <c r="BM103" s="73"/>
      <c r="BN103" s="73"/>
      <c r="BO103" s="74"/>
    </row>
    <row r="104" spans="1:67" ht="19" customHeight="1" thickBot="1" x14ac:dyDescent="0.4">
      <c r="A104" s="115"/>
      <c r="B104" s="116"/>
      <c r="C104" s="116"/>
      <c r="D104" s="116"/>
      <c r="E104" s="116"/>
      <c r="F104" s="116"/>
      <c r="G104" s="116"/>
      <c r="H104" s="117"/>
      <c r="I104" s="101"/>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3"/>
      <c r="AT104" s="113"/>
      <c r="AU104" s="113"/>
      <c r="AV104" s="113"/>
      <c r="AW104" s="113"/>
      <c r="AX104" s="113"/>
      <c r="AY104" s="113"/>
      <c r="AZ104" s="113"/>
      <c r="BA104" s="113"/>
      <c r="BB104" s="113"/>
      <c r="BC104" s="113"/>
      <c r="BD104" s="114" t="str">
        <f>IF(OR(AT104="",AY104=""),"",IF(ISERROR(ROUND(AVERAGE(AT104,AY104),0)),"",ROUND(AVERAGE(AT104,AY104),0)))</f>
        <v/>
      </c>
      <c r="BE104" s="114"/>
      <c r="BF104" s="114"/>
      <c r="BG104" s="114"/>
      <c r="BH104" s="114"/>
      <c r="BI104" s="114" t="str">
        <f>IF(OR(AT104="",AY104="",BD104=""),"",IF(BD104&gt;=75,"PASSED","FAILED"))</f>
        <v/>
      </c>
      <c r="BJ104" s="114"/>
      <c r="BK104" s="114"/>
      <c r="BL104" s="114"/>
      <c r="BM104" s="114"/>
      <c r="BN104" s="114"/>
      <c r="BO104" s="121"/>
    </row>
    <row r="105" spans="1:67" ht="3" customHeight="1" x14ac:dyDescent="0.3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row>
    <row r="106" spans="1:67" ht="22.5" customHeight="1" x14ac:dyDescent="0.35">
      <c r="A106" s="111" t="s">
        <v>54</v>
      </c>
      <c r="B106" s="111"/>
      <c r="C106" s="111"/>
      <c r="D106" s="111"/>
      <c r="E106" s="111"/>
      <c r="F106" s="111"/>
      <c r="G106" s="111"/>
      <c r="H106" s="111"/>
      <c r="I106" s="111"/>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7" t="s">
        <v>55</v>
      </c>
      <c r="AU106" s="107"/>
      <c r="AV106" s="107"/>
      <c r="AW106" s="107"/>
      <c r="AX106" s="107"/>
      <c r="AY106" s="130"/>
      <c r="AZ106" s="130"/>
      <c r="BA106" s="130"/>
      <c r="BB106" s="130"/>
      <c r="BC106" s="130"/>
      <c r="BD106" s="130"/>
      <c r="BE106" s="130"/>
      <c r="BF106" s="130"/>
      <c r="BG106" s="130"/>
      <c r="BH106" s="130"/>
      <c r="BI106" s="130"/>
      <c r="BJ106" s="130"/>
      <c r="BK106" s="130"/>
      <c r="BL106" s="130"/>
      <c r="BM106" s="130"/>
      <c r="BN106" s="130"/>
      <c r="BO106" s="130"/>
    </row>
    <row r="992" spans="12978:12978" hidden="1" x14ac:dyDescent="0.35">
      <c r="SED992" s="5" t="s">
        <v>56</v>
      </c>
    </row>
    <row r="1017" spans="12977:12981" x14ac:dyDescent="0.35">
      <c r="SED1017" s="129"/>
      <c r="SEE1017" s="129"/>
      <c r="SEF1017" s="129"/>
      <c r="SEG1017" s="129"/>
    </row>
    <row r="1018" spans="12977:12981" x14ac:dyDescent="0.35">
      <c r="SED1018" s="6"/>
      <c r="SEE1018" s="6"/>
      <c r="SEF1018" s="6"/>
      <c r="SEG1018" s="6"/>
    </row>
    <row r="1019" spans="12977:12981" x14ac:dyDescent="0.35">
      <c r="SEC1019" s="128"/>
      <c r="SED1019" s="6"/>
      <c r="SEE1019" s="6"/>
      <c r="SEF1019" s="6"/>
      <c r="SEG1019" s="6"/>
    </row>
    <row r="1020" spans="12977:12981" x14ac:dyDescent="0.35">
      <c r="SEC1020" s="128"/>
      <c r="SED1020" s="6"/>
      <c r="SEE1020" s="6"/>
      <c r="SEF1020" s="6"/>
      <c r="SEG1020" s="6"/>
    </row>
    <row r="1021" spans="12977:12981" x14ac:dyDescent="0.35">
      <c r="SEC1021" s="128"/>
      <c r="SED1021" s="6"/>
      <c r="SEE1021" s="6"/>
      <c r="SEF1021" s="6"/>
      <c r="SEG1021" s="6"/>
    </row>
    <row r="1022" spans="12977:12981" x14ac:dyDescent="0.35">
      <c r="SEC1022" s="128"/>
      <c r="SED1022" s="6"/>
      <c r="SEE1022" s="6"/>
      <c r="SEF1022" s="6"/>
      <c r="SEG1022" s="6"/>
    </row>
    <row r="1023" spans="12977:12981" x14ac:dyDescent="0.35">
      <c r="SEC1023" s="128"/>
      <c r="SED1023" s="6"/>
      <c r="SEE1023" s="6"/>
      <c r="SEF1023" s="6"/>
      <c r="SEG1023" s="6"/>
    </row>
    <row r="1024" spans="12977:12981" x14ac:dyDescent="0.35">
      <c r="SEC1024" s="128"/>
      <c r="SED1024" s="6"/>
      <c r="SEE1024" s="6"/>
      <c r="SEF1024" s="6"/>
      <c r="SEG1024" s="6"/>
    </row>
    <row r="1025" spans="12977:12981" x14ac:dyDescent="0.35">
      <c r="SEC1025" s="128"/>
      <c r="SED1025" s="6"/>
      <c r="SEE1025" s="6"/>
      <c r="SEF1025" s="6"/>
      <c r="SEG1025" s="6"/>
    </row>
    <row r="1026" spans="12977:12981" x14ac:dyDescent="0.35">
      <c r="SEC1026" s="128"/>
      <c r="SED1026" s="6"/>
      <c r="SEE1026" s="6"/>
      <c r="SEF1026" s="6"/>
      <c r="SEG1026" s="6"/>
    </row>
    <row r="1027" spans="12977:12981" x14ac:dyDescent="0.35">
      <c r="SEC1027" s="128"/>
      <c r="SED1027" s="6"/>
      <c r="SEE1027" s="6"/>
      <c r="SEF1027" s="6"/>
      <c r="SEG1027" s="6"/>
    </row>
    <row r="1028" spans="12977:12981" x14ac:dyDescent="0.35">
      <c r="SEC1028" s="128"/>
      <c r="SED1028" s="6"/>
      <c r="SEE1028" s="6"/>
      <c r="SEF1028" s="6"/>
      <c r="SEG1028" s="6"/>
    </row>
    <row r="1029" spans="12977:12981" x14ac:dyDescent="0.35">
      <c r="SEC1029" s="128"/>
      <c r="SED1029" s="6"/>
      <c r="SEE1029" s="6"/>
      <c r="SEF1029" s="6"/>
      <c r="SEG1029" s="6"/>
    </row>
    <row r="1030" spans="12977:12981" x14ac:dyDescent="0.35">
      <c r="SEC1030" s="128"/>
      <c r="SED1030" s="6"/>
      <c r="SEE1030" s="6"/>
      <c r="SEF1030" s="6"/>
      <c r="SEG1030" s="6"/>
    </row>
    <row r="1031" spans="12977:12981" x14ac:dyDescent="0.35">
      <c r="SEC1031" s="128"/>
      <c r="SED1031" s="6"/>
      <c r="SEE1031" s="6"/>
      <c r="SEF1031" s="6"/>
      <c r="SEG1031" s="6"/>
    </row>
    <row r="1032" spans="12977:12981" x14ac:dyDescent="0.35">
      <c r="SEC1032" s="128"/>
      <c r="SED1032" s="6"/>
      <c r="SEE1032" s="6"/>
      <c r="SEF1032" s="6"/>
      <c r="SEG1032" s="6"/>
    </row>
    <row r="1033" spans="12977:12981" x14ac:dyDescent="0.35">
      <c r="SEC1033" s="128"/>
      <c r="SED1033" s="6"/>
      <c r="SEE1033" s="6"/>
      <c r="SEF1033" s="6"/>
      <c r="SEG1033" s="6"/>
    </row>
    <row r="1034" spans="12977:12981" x14ac:dyDescent="0.35">
      <c r="SEC1034" s="128"/>
      <c r="SED1034" s="6"/>
      <c r="SEE1034" s="6"/>
      <c r="SEF1034" s="6"/>
      <c r="SEG1034" s="6"/>
    </row>
    <row r="1035" spans="12977:12981" x14ac:dyDescent="0.35">
      <c r="SEC1035" s="128"/>
      <c r="SED1035" s="6"/>
      <c r="SEE1035" s="6"/>
      <c r="SEF1035" s="6"/>
      <c r="SEG1035" s="6"/>
    </row>
    <row r="1036" spans="12977:12981" x14ac:dyDescent="0.35">
      <c r="SEC1036" s="128"/>
      <c r="SED1036" s="6"/>
    </row>
    <row r="1037" spans="12977:12981" x14ac:dyDescent="0.35">
      <c r="SEC1037" s="128"/>
      <c r="SED1037" s="6"/>
    </row>
    <row r="1038" spans="12977:12981" x14ac:dyDescent="0.35">
      <c r="SEC1038" s="128"/>
      <c r="SED1038" s="6"/>
    </row>
    <row r="1039" spans="12977:12981" x14ac:dyDescent="0.35">
      <c r="SEC1039" s="128"/>
      <c r="SED1039" s="6"/>
    </row>
    <row r="1040" spans="12977:12981" x14ac:dyDescent="0.35">
      <c r="SEC1040" s="128"/>
      <c r="SED1040" s="6"/>
    </row>
    <row r="1041" spans="12977:12978" x14ac:dyDescent="0.35">
      <c r="SEC1041" s="128"/>
      <c r="SED1041" s="6"/>
    </row>
    <row r="1042" spans="12977:12978" x14ac:dyDescent="0.35">
      <c r="SEC1042" s="128"/>
      <c r="SED1042" s="6"/>
    </row>
    <row r="1043" spans="12977:12978" x14ac:dyDescent="0.35">
      <c r="SEC1043" s="128"/>
      <c r="SED1043" s="6"/>
    </row>
    <row r="1044" spans="12977:12978" x14ac:dyDescent="0.35">
      <c r="SEC1044" s="128"/>
      <c r="SED1044" s="6"/>
    </row>
    <row r="1045" spans="12977:12978" x14ac:dyDescent="0.35">
      <c r="SEC1045" s="128"/>
      <c r="SED1045" s="6"/>
    </row>
    <row r="1046" spans="12977:12978" x14ac:dyDescent="0.35">
      <c r="SEC1046" s="128"/>
      <c r="SED1046" s="6"/>
    </row>
    <row r="1047" spans="12977:12978" x14ac:dyDescent="0.35">
      <c r="SEC1047" s="128"/>
      <c r="SED1047" s="6"/>
    </row>
    <row r="1048" spans="12977:12978" x14ac:dyDescent="0.35">
      <c r="SEC1048" s="128"/>
      <c r="SED1048" s="6"/>
    </row>
    <row r="1049" spans="12977:12978" x14ac:dyDescent="0.35">
      <c r="SEC1049" s="128"/>
      <c r="SED1049" s="6"/>
    </row>
    <row r="1050" spans="12977:12978" x14ac:dyDescent="0.35">
      <c r="SEC1050" s="128"/>
      <c r="SED1050" s="6"/>
    </row>
    <row r="1051" spans="12977:12978" x14ac:dyDescent="0.35">
      <c r="SEC1051" s="128"/>
      <c r="SED1051" s="6"/>
    </row>
    <row r="1052" spans="12977:12978" x14ac:dyDescent="0.35">
      <c r="SEC1052" s="128"/>
      <c r="SED1052" s="6"/>
    </row>
    <row r="1053" spans="12977:12978" x14ac:dyDescent="0.35">
      <c r="SEC1053" s="128"/>
      <c r="SED1053" s="6"/>
    </row>
    <row r="1054" spans="12977:12978" x14ac:dyDescent="0.35">
      <c r="SEC1054" s="128"/>
      <c r="SED1054" s="6"/>
    </row>
    <row r="1055" spans="12977:12978" x14ac:dyDescent="0.35">
      <c r="SEC1055" s="128"/>
      <c r="SED1055" s="6"/>
    </row>
    <row r="1056" spans="12977:12978" x14ac:dyDescent="0.35">
      <c r="SEC1056" s="128"/>
      <c r="SED1056" s="6"/>
    </row>
    <row r="1057" spans="12977:12978" x14ac:dyDescent="0.35">
      <c r="SEC1057" s="128"/>
      <c r="SED1057" s="6"/>
    </row>
    <row r="1058" spans="12977:12978" x14ac:dyDescent="0.35">
      <c r="SEC1058" s="128"/>
      <c r="SED1058" s="6"/>
    </row>
    <row r="1059" spans="12977:12978" x14ac:dyDescent="0.35">
      <c r="SEC1059" s="128"/>
      <c r="SED1059" s="6"/>
    </row>
    <row r="1060" spans="12977:12978" x14ac:dyDescent="0.35">
      <c r="SEC1060" s="128"/>
      <c r="SED1060" s="6"/>
    </row>
    <row r="1061" spans="12977:12978" x14ac:dyDescent="0.35">
      <c r="SEC1061" s="128"/>
      <c r="SED1061" s="6"/>
    </row>
    <row r="1062" spans="12977:12978" x14ac:dyDescent="0.35">
      <c r="SEC1062" s="128"/>
      <c r="SED1062" s="6"/>
    </row>
    <row r="1063" spans="12977:12978" x14ac:dyDescent="0.35">
      <c r="SEC1063" s="128"/>
      <c r="SED1063" s="6"/>
    </row>
    <row r="1064" spans="12977:12978" x14ac:dyDescent="0.35">
      <c r="SEC1064" s="128"/>
      <c r="SED1064" s="6"/>
    </row>
    <row r="1065" spans="12977:12978" x14ac:dyDescent="0.35">
      <c r="SEC1065" s="128"/>
      <c r="SED1065" s="6"/>
    </row>
    <row r="1066" spans="12977:12978" x14ac:dyDescent="0.35">
      <c r="SEC1066" s="128"/>
      <c r="SED1066" s="6"/>
    </row>
    <row r="1067" spans="12977:12978" x14ac:dyDescent="0.35">
      <c r="SEC1067" s="128"/>
      <c r="SED1067" s="6"/>
    </row>
    <row r="1068" spans="12977:12978" x14ac:dyDescent="0.35">
      <c r="SEC1068" s="128"/>
      <c r="SED1068" s="6"/>
    </row>
    <row r="1069" spans="12977:12978" x14ac:dyDescent="0.35">
      <c r="SEC1069" s="128"/>
      <c r="SED1069" s="6"/>
    </row>
    <row r="1070" spans="12977:12978" x14ac:dyDescent="0.35">
      <c r="SEC1070" s="128"/>
      <c r="SED1070" s="6"/>
    </row>
    <row r="1071" spans="12977:12978" x14ac:dyDescent="0.35">
      <c r="SEC1071" s="128"/>
      <c r="SED1071" s="6"/>
    </row>
    <row r="1072" spans="12977:12978" x14ac:dyDescent="0.35">
      <c r="SEC1072" s="128"/>
      <c r="SED1072" s="6"/>
    </row>
    <row r="1073" spans="12977:12978" x14ac:dyDescent="0.35">
      <c r="SEC1073" s="128"/>
      <c r="SED1073" s="6"/>
    </row>
    <row r="1074" spans="12977:12978" x14ac:dyDescent="0.35">
      <c r="SEC1074" s="128"/>
      <c r="SED1074" s="6"/>
    </row>
    <row r="1075" spans="12977:12978" x14ac:dyDescent="0.35">
      <c r="SEC1075" s="128"/>
      <c r="SED1075" s="6"/>
    </row>
    <row r="1076" spans="12977:12978" x14ac:dyDescent="0.35">
      <c r="SEC1076" s="128"/>
      <c r="SED1076" s="6"/>
    </row>
    <row r="1077" spans="12977:12978" x14ac:dyDescent="0.35">
      <c r="SEC1077" s="128"/>
      <c r="SED1077" s="6"/>
    </row>
    <row r="1078" spans="12977:12978" x14ac:dyDescent="0.35">
      <c r="SEC1078" s="128"/>
      <c r="SED1078" s="6"/>
    </row>
    <row r="1079" spans="12977:12978" x14ac:dyDescent="0.35">
      <c r="SEC1079" s="128"/>
      <c r="SED1079" s="6"/>
    </row>
    <row r="1080" spans="12977:12978" x14ac:dyDescent="0.35">
      <c r="SEC1080" s="128"/>
      <c r="SED1080" s="6"/>
    </row>
    <row r="1081" spans="12977:12978" x14ac:dyDescent="0.35">
      <c r="SEC1081" s="128"/>
      <c r="SED1081" s="6"/>
    </row>
    <row r="1082" spans="12977:12978" x14ac:dyDescent="0.35">
      <c r="SEC1082" s="128"/>
      <c r="SED1082" s="6"/>
    </row>
    <row r="1083" spans="12977:12978" x14ac:dyDescent="0.35">
      <c r="SEC1083" s="128"/>
      <c r="SED1083" s="6"/>
    </row>
    <row r="1084" spans="12977:12978" x14ac:dyDescent="0.35">
      <c r="SEC1084" s="128"/>
      <c r="SED1084" s="6"/>
    </row>
    <row r="1085" spans="12977:12978" x14ac:dyDescent="0.35">
      <c r="SEC1085" s="128"/>
      <c r="SED1085" s="6"/>
    </row>
    <row r="1086" spans="12977:12978" x14ac:dyDescent="0.35">
      <c r="SEC1086" s="128"/>
      <c r="SED1086" s="6"/>
    </row>
    <row r="1087" spans="12977:12978" x14ac:dyDescent="0.35">
      <c r="SEC1087" s="128"/>
      <c r="SED1087" s="6"/>
    </row>
    <row r="1088" spans="12977:12978" x14ac:dyDescent="0.35">
      <c r="SEC1088" s="128"/>
      <c r="SED1088" s="6"/>
    </row>
    <row r="1089" spans="12977:12978" x14ac:dyDescent="0.35">
      <c r="SEC1089" s="128"/>
      <c r="SED1089" s="6"/>
    </row>
    <row r="1090" spans="12977:12978" x14ac:dyDescent="0.35">
      <c r="SEC1090" s="128"/>
      <c r="SED1090" s="6"/>
    </row>
  </sheetData>
  <protectedRanges>
    <protectedRange sqref="BP8" name="Range1"/>
  </protectedRanges>
  <sortState xmlns:xlrd2="http://schemas.microsoft.com/office/spreadsheetml/2017/richdata2" ref="SEF1001:SEF1007">
    <sortCondition ref="SEF1001"/>
  </sortState>
  <dataConsolidate/>
  <customSheetViews>
    <customSheetView guid="{10225561-8BCB-4AAB-A96B-034D76D8C0EB}" scale="70" showPageBreaks="1" showGridLines="0" printArea="1" hiddenRows="1" hiddenColumns="1" view="pageBreakPreview">
      <selection activeCell="BP9" sqref="BP9"/>
      <rowBreaks count="1" manualBreakCount="1">
        <brk id="107" max="16383" man="1"/>
      </rowBreaks>
      <colBreaks count="1" manualBreakCount="1">
        <brk id="67" max="1048575" man="1"/>
      </colBreaks>
      <pageMargins left="0" right="0" top="0" bottom="0" header="0" footer="0"/>
      <pageSetup paperSize="5" scale="59" orientation="portrait" horizontalDpi="4294967293" verticalDpi="4294967292" r:id="rId1"/>
    </customSheetView>
  </customSheetViews>
  <mergeCells count="366">
    <mergeCell ref="AU48:BD48"/>
    <mergeCell ref="BI41:BO41"/>
    <mergeCell ref="AM66:AR66"/>
    <mergeCell ref="A82:H82"/>
    <mergeCell ref="A78:H78"/>
    <mergeCell ref="BI75:BO75"/>
    <mergeCell ref="BD86:BH86"/>
    <mergeCell ref="BI86:BO86"/>
    <mergeCell ref="AT78:AX78"/>
    <mergeCell ref="AY78:BC78"/>
    <mergeCell ref="BD85:BH85"/>
    <mergeCell ref="BI85:BO85"/>
    <mergeCell ref="AT84:AX84"/>
    <mergeCell ref="AY84:BC84"/>
    <mergeCell ref="A70:H73"/>
    <mergeCell ref="BD78:BH78"/>
    <mergeCell ref="BI78:BO78"/>
    <mergeCell ref="BD84:BH84"/>
    <mergeCell ref="BI84:BO84"/>
    <mergeCell ref="AT85:AX85"/>
    <mergeCell ref="AY85:BC85"/>
    <mergeCell ref="AN68:AR68"/>
    <mergeCell ref="AY74:BC74"/>
    <mergeCell ref="AT63:AX63"/>
    <mergeCell ref="F88:BO88"/>
    <mergeCell ref="AY66:AZ66"/>
    <mergeCell ref="AT72:AX73"/>
    <mergeCell ref="AY77:BC77"/>
    <mergeCell ref="AT74:AX74"/>
    <mergeCell ref="I70:AS73"/>
    <mergeCell ref="AY72:BC73"/>
    <mergeCell ref="BD80:BH80"/>
    <mergeCell ref="BI80:BO80"/>
    <mergeCell ref="AT76:AX76"/>
    <mergeCell ref="BD70:BH73"/>
    <mergeCell ref="AY76:BC76"/>
    <mergeCell ref="BI74:BO74"/>
    <mergeCell ref="AT79:AX79"/>
    <mergeCell ref="AY79:BC79"/>
    <mergeCell ref="BD79:BH79"/>
    <mergeCell ref="BI79:BO79"/>
    <mergeCell ref="A67:BO67"/>
    <mergeCell ref="AY75:BC75"/>
    <mergeCell ref="BD75:BH75"/>
    <mergeCell ref="BD76:BH76"/>
    <mergeCell ref="I80:AS80"/>
    <mergeCell ref="I81:AS81"/>
    <mergeCell ref="I82:AS82"/>
    <mergeCell ref="AS68:BO68"/>
    <mergeCell ref="A64:BO65"/>
    <mergeCell ref="A60:H60"/>
    <mergeCell ref="E66:AA66"/>
    <mergeCell ref="AB66:AE66"/>
    <mergeCell ref="BD77:BH77"/>
    <mergeCell ref="BI77:BO77"/>
    <mergeCell ref="BI70:BO73"/>
    <mergeCell ref="BD74:BH74"/>
    <mergeCell ref="BI58:BO58"/>
    <mergeCell ref="AT58:AX58"/>
    <mergeCell ref="AY58:BC58"/>
    <mergeCell ref="BD58:BH58"/>
    <mergeCell ref="AY59:BC59"/>
    <mergeCell ref="BD59:BH59"/>
    <mergeCell ref="BI59:BO59"/>
    <mergeCell ref="AT60:AX60"/>
    <mergeCell ref="AY60:BC60"/>
    <mergeCell ref="BD60:BH60"/>
    <mergeCell ref="AT59:AX59"/>
    <mergeCell ref="BI60:BO60"/>
    <mergeCell ref="AY40:BC40"/>
    <mergeCell ref="A39:H39"/>
    <mergeCell ref="AT39:AX39"/>
    <mergeCell ref="BD40:BH40"/>
    <mergeCell ref="BI40:BO40"/>
    <mergeCell ref="AY39:BC39"/>
    <mergeCell ref="I40:AS40"/>
    <mergeCell ref="BD41:BH41"/>
    <mergeCell ref="I41:AS41"/>
    <mergeCell ref="BI39:BO39"/>
    <mergeCell ref="AY41:BC41"/>
    <mergeCell ref="AT41:AX41"/>
    <mergeCell ref="I42:AS42"/>
    <mergeCell ref="AT42:AX42"/>
    <mergeCell ref="AY42:BC42"/>
    <mergeCell ref="A41:H41"/>
    <mergeCell ref="A42:H42"/>
    <mergeCell ref="V47:AE47"/>
    <mergeCell ref="A46:BO46"/>
    <mergeCell ref="BI42:BO42"/>
    <mergeCell ref="BD43:BH43"/>
    <mergeCell ref="BI43:BO43"/>
    <mergeCell ref="A44:BO44"/>
    <mergeCell ref="E45:BO45"/>
    <mergeCell ref="A45:D45"/>
    <mergeCell ref="BD42:BH42"/>
    <mergeCell ref="A47:E47"/>
    <mergeCell ref="AG47:AT47"/>
    <mergeCell ref="A43:BC43"/>
    <mergeCell ref="BD34:BH34"/>
    <mergeCell ref="BD35:BH35"/>
    <mergeCell ref="E23:AA23"/>
    <mergeCell ref="A33:H33"/>
    <mergeCell ref="A34:H34"/>
    <mergeCell ref="BI35:BO35"/>
    <mergeCell ref="AY34:BC34"/>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F23:AL23"/>
    <mergeCell ref="AN25:AR25"/>
    <mergeCell ref="AS25:BO25"/>
    <mergeCell ref="AB23:AE23"/>
    <mergeCell ref="BH23:BJ23"/>
    <mergeCell ref="BA23:BG23"/>
    <mergeCell ref="G25:AM25"/>
    <mergeCell ref="A36:H36"/>
    <mergeCell ref="A22:BO22"/>
    <mergeCell ref="AT29:AX30"/>
    <mergeCell ref="I27:AS30"/>
    <mergeCell ref="I31:AS31"/>
    <mergeCell ref="AT27:BC28"/>
    <mergeCell ref="BD27:BH30"/>
    <mergeCell ref="BI27:BO30"/>
    <mergeCell ref="A25:F25"/>
    <mergeCell ref="A32:H32"/>
    <mergeCell ref="AY23:AZ23"/>
    <mergeCell ref="A26:BO26"/>
    <mergeCell ref="A27:H30"/>
    <mergeCell ref="A31:H31"/>
    <mergeCell ref="BI31:BO31"/>
    <mergeCell ref="A23:D23"/>
    <mergeCell ref="BI33:BO33"/>
    <mergeCell ref="P1:BA1"/>
    <mergeCell ref="P2:BA2"/>
    <mergeCell ref="P3:BA5"/>
    <mergeCell ref="A48:Q48"/>
    <mergeCell ref="Y48:AO48"/>
    <mergeCell ref="A11:BO11"/>
    <mergeCell ref="A6:BO6"/>
    <mergeCell ref="BD39:BH39"/>
    <mergeCell ref="A35:H35"/>
    <mergeCell ref="AT38:AX38"/>
    <mergeCell ref="AY37:BC37"/>
    <mergeCell ref="AY38:BC38"/>
    <mergeCell ref="AY33:BC33"/>
    <mergeCell ref="BI34:BO34"/>
    <mergeCell ref="BI38:BO38"/>
    <mergeCell ref="BD38:BH38"/>
    <mergeCell ref="BD33:BH33"/>
    <mergeCell ref="I37:AS37"/>
    <mergeCell ref="A24:BO24"/>
    <mergeCell ref="I38:AS38"/>
    <mergeCell ref="I36:AS36"/>
    <mergeCell ref="B16:G16"/>
    <mergeCell ref="P17:U17"/>
    <mergeCell ref="AN17:BO17"/>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Y35:BC35"/>
    <mergeCell ref="BK23:BO23"/>
    <mergeCell ref="AS23:AX23"/>
    <mergeCell ref="I33:AS33"/>
    <mergeCell ref="I34:AS34"/>
    <mergeCell ref="I35:AS35"/>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A37:H37"/>
    <mergeCell ref="A38:H38"/>
    <mergeCell ref="AM23:AR23"/>
    <mergeCell ref="A15:BO15"/>
    <mergeCell ref="A21:BO21"/>
    <mergeCell ref="A20:BO20"/>
    <mergeCell ref="BI61:BO61"/>
    <mergeCell ref="A62:BO62"/>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Y32:BC32"/>
    <mergeCell ref="I32:AS32"/>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AS66:AX66"/>
    <mergeCell ref="BK66:BO66"/>
    <mergeCell ref="I60:AS60"/>
    <mergeCell ref="AT61:AX61"/>
    <mergeCell ref="AY61:BC61"/>
    <mergeCell ref="BD61:BH61"/>
    <mergeCell ref="A61:H61"/>
    <mergeCell ref="AY63:BO63"/>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Z16:AB16"/>
    <mergeCell ref="H16:J16"/>
    <mergeCell ref="K16:N16"/>
    <mergeCell ref="AC16:AF16"/>
    <mergeCell ref="W17:AM17"/>
    <mergeCell ref="AY29:BC30"/>
    <mergeCell ref="AY36:BC36"/>
    <mergeCell ref="A58:H58"/>
    <mergeCell ref="A83:H83"/>
    <mergeCell ref="BI81:BO81"/>
    <mergeCell ref="A81:H81"/>
    <mergeCell ref="BD82:BH82"/>
    <mergeCell ref="BD83:BH83"/>
    <mergeCell ref="A80:H80"/>
    <mergeCell ref="AT83:AX83"/>
    <mergeCell ref="AY80:BC80"/>
    <mergeCell ref="AY81:BC81"/>
    <mergeCell ref="AY82:BC82"/>
    <mergeCell ref="AY83:BC83"/>
    <mergeCell ref="AT81:AX81"/>
    <mergeCell ref="AT82:AX82"/>
    <mergeCell ref="I83:AS83"/>
    <mergeCell ref="BI82:BO82"/>
    <mergeCell ref="BI83:BO83"/>
    <mergeCell ref="BD81:BH81"/>
    <mergeCell ref="AT77:AX77"/>
    <mergeCell ref="BI76:BO76"/>
    <mergeCell ref="AT75:AX75"/>
    <mergeCell ref="I75:AS75"/>
    <mergeCell ref="I76:AS76"/>
    <mergeCell ref="AT80:AX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87:BO87"/>
    <mergeCell ref="A89:BO89"/>
    <mergeCell ref="A96:BO96"/>
    <mergeCell ref="A88:E88"/>
    <mergeCell ref="A103:H103"/>
    <mergeCell ref="AT103:AX103"/>
    <mergeCell ref="AY103:BC103"/>
    <mergeCell ref="BD103:BH103"/>
    <mergeCell ref="BI102:BO102"/>
    <mergeCell ref="A102:H102"/>
    <mergeCell ref="I102:AS102"/>
    <mergeCell ref="AY101:BC101"/>
    <mergeCell ref="BD101:BH101"/>
    <mergeCell ref="BI101:BO101"/>
    <mergeCell ref="AT102:AX102"/>
    <mergeCell ref="AY102:BC102"/>
    <mergeCell ref="BD102:BH102"/>
    <mergeCell ref="BI103:BO103"/>
    <mergeCell ref="I103:AS103"/>
    <mergeCell ref="A90:E90"/>
    <mergeCell ref="BD97:BH100"/>
    <mergeCell ref="BI97:BO100"/>
    <mergeCell ref="A97:H100"/>
    <mergeCell ref="I97:AS100"/>
    <mergeCell ref="I95:R95"/>
    <mergeCell ref="AL95:BE95"/>
    <mergeCell ref="BF95:BJ95"/>
    <mergeCell ref="BK95:BO95"/>
    <mergeCell ref="Y91:AO91"/>
    <mergeCell ref="AU91:BD91"/>
    <mergeCell ref="A91:Q91"/>
    <mergeCell ref="AG90:AT90"/>
  </mergeCells>
  <phoneticPr fontId="8" type="noConversion"/>
  <dataValidations count="9">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s>
  <printOptions horizontalCentered="1"/>
  <pageMargins left="0.23622047244094491" right="0.23622047244094491" top="0.23622047244094491" bottom="0" header="0" footer="0"/>
  <pageSetup paperSize="5" scale="62" orientation="portrait" horizontalDpi="4294967293" verticalDpi="4294967292" r:id="rId2"/>
  <rowBreaks count="1" manualBreakCount="1">
    <brk id="107" max="16383" man="1"/>
  </rowBreaks>
  <colBreaks count="1" manualBreakCount="1">
    <brk id="67" max="1048575" man="1"/>
  </colBreaks>
  <drawing r:id="rId3"/>
  <extLst>
    <ext xmlns:x14="http://schemas.microsoft.com/office/spreadsheetml/2009/9/main" uri="{CCE6A557-97BC-4b89-ADB6-D9C93CAAB3DF}">
      <x14:dataValidations xmlns:xm="http://schemas.microsoft.com/office/excel/2006/main" count="6">
        <x14:dataValidation type="list" allowBlank="1" showInputMessage="1" showErrorMessage="1" xr:uid="{45558F14-998B-4B6A-88B7-AFFBE1BEEB52}">
          <x14:formula1>
            <xm:f>#REF!</xm:f>
          </x14:formula1>
          <xm:sqref>BP8</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INDIRECT('Helper(IMPORTANT!)'!$B5)</xm:f>
          </x14:formula1>
          <xm:sqref>I32:AS40</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116"/>
  <sheetViews>
    <sheetView showGridLines="0" view="pageBreakPreview" zoomScale="80" zoomScaleNormal="70" zoomScaleSheetLayoutView="80" zoomScalePageLayoutView="125" workbookViewId="0">
      <selection activeCell="BP16" sqref="BP16"/>
    </sheetView>
  </sheetViews>
  <sheetFormatPr defaultColWidth="11" defaultRowHeight="15.5" x14ac:dyDescent="0.35"/>
  <cols>
    <col min="1" max="1" width="2.5" style="6" customWidth="1"/>
    <col min="2" max="7" width="2.83203125" style="6" customWidth="1"/>
    <col min="8" max="8" width="3.33203125" style="6" customWidth="1"/>
    <col min="9" max="27" width="2" style="6" customWidth="1"/>
    <col min="28" max="31" width="2.5" style="6" customWidth="1"/>
    <col min="32" max="45" width="2.33203125" style="6" customWidth="1"/>
    <col min="46" max="55" width="2" style="6" customWidth="1"/>
    <col min="56" max="58" width="2.83203125" style="6" customWidth="1"/>
    <col min="59" max="59" width="1.5" style="6" customWidth="1"/>
    <col min="60" max="60" width="2.83203125" style="6" customWidth="1"/>
    <col min="61" max="67" width="1.5" style="6" customWidth="1"/>
    <col min="68" max="68" width="24" style="6" customWidth="1"/>
    <col min="69" max="16384" width="11" style="6"/>
  </cols>
  <sheetData>
    <row r="1" spans="1:68" s="1" customFormat="1" ht="16.5" customHeight="1" thickBot="1" x14ac:dyDescent="0.4">
      <c r="A1" s="89" t="s">
        <v>57</v>
      </c>
      <c r="B1" s="89"/>
      <c r="C1" s="89"/>
      <c r="D1" s="2"/>
      <c r="E1" s="2"/>
      <c r="F1" s="2"/>
      <c r="G1" s="2"/>
      <c r="H1" s="2"/>
      <c r="I1" s="3" t="str">
        <f>IF(BP4="","",VLOOKUP(BP5,#REF!,2,FALSE)&amp;", "&amp;VLOOKUP(BP5,#REF!,3,FALSE)&amp;" "&amp;VLOOKUP(BP5,#REF!,4,FALSE))</f>
        <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150" t="s">
        <v>6</v>
      </c>
      <c r="BI1" s="150"/>
      <c r="BJ1" s="150"/>
      <c r="BK1" s="150"/>
      <c r="BL1" s="150"/>
      <c r="BM1" s="150"/>
      <c r="BN1" s="150"/>
      <c r="BO1" s="150"/>
    </row>
    <row r="2" spans="1:68" ht="1.5" customHeight="1" x14ac:dyDescent="0.35">
      <c r="A2" s="7"/>
      <c r="I2" s="8"/>
      <c r="BO2" s="9"/>
    </row>
    <row r="3" spans="1:68" ht="1.5" customHeight="1" x14ac:dyDescent="0.35">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row>
    <row r="4" spans="1:68" x14ac:dyDescent="0.35">
      <c r="A4" s="67" t="s">
        <v>32</v>
      </c>
      <c r="B4" s="67"/>
      <c r="C4" s="67"/>
      <c r="D4" s="67"/>
      <c r="E4" s="100" t="str">
        <f>IFERROR(IF(VLOOKUP(BP5,#REF!,144,FALSE)="","",VLOOKUP(BP5,#REF!,144,FALSE)),"")</f>
        <v/>
      </c>
      <c r="F4" s="100"/>
      <c r="G4" s="100"/>
      <c r="H4" s="100"/>
      <c r="I4" s="100"/>
      <c r="J4" s="100"/>
      <c r="K4" s="100"/>
      <c r="L4" s="100"/>
      <c r="M4" s="100"/>
      <c r="N4" s="100"/>
      <c r="O4" s="100"/>
      <c r="P4" s="100"/>
      <c r="Q4" s="100"/>
      <c r="R4" s="100"/>
      <c r="S4" s="100"/>
      <c r="T4" s="100"/>
      <c r="U4" s="100"/>
      <c r="V4" s="100"/>
      <c r="W4" s="100"/>
      <c r="X4" s="100"/>
      <c r="Y4" s="100"/>
      <c r="Z4" s="100"/>
      <c r="AA4" s="100"/>
      <c r="AB4" s="65" t="s">
        <v>33</v>
      </c>
      <c r="AC4" s="65"/>
      <c r="AD4" s="65"/>
      <c r="AE4" s="65"/>
      <c r="AF4" s="100" t="str">
        <f>IFERROR(IF(VLOOKUP(BP5,#REF!,145,FALSE)="","",VLOOKUP(BP5,#REF!,145,FALSE)),"")</f>
        <v/>
      </c>
      <c r="AG4" s="100"/>
      <c r="AH4" s="100"/>
      <c r="AI4" s="100"/>
      <c r="AJ4" s="100"/>
      <c r="AK4" s="100"/>
      <c r="AL4" s="100"/>
      <c r="AM4" s="67" t="s">
        <v>34</v>
      </c>
      <c r="AN4" s="67"/>
      <c r="AO4" s="67"/>
      <c r="AP4" s="67"/>
      <c r="AQ4" s="67"/>
      <c r="AR4" s="67"/>
      <c r="AS4" s="100" t="str">
        <f>IFERROR(IF(VLOOKUP(BP5,#REF!,146,FALSE)="","",VLOOKUP(BP5,#REF!,146,FALSE)),"")</f>
        <v/>
      </c>
      <c r="AT4" s="100"/>
      <c r="AU4" s="100"/>
      <c r="AV4" s="100"/>
      <c r="AW4" s="100"/>
      <c r="AX4" s="100"/>
      <c r="AY4" s="67" t="s">
        <v>35</v>
      </c>
      <c r="AZ4" s="67"/>
      <c r="BA4" s="100" t="str">
        <f>IFERROR(IF(VLOOKUP(BP5,#REF!,147,FALSE)="","",VLOOKUP(BP5,#REF!,147,FALSE)),"")</f>
        <v/>
      </c>
      <c r="BB4" s="100"/>
      <c r="BC4" s="100"/>
      <c r="BD4" s="100"/>
      <c r="BE4" s="100"/>
      <c r="BF4" s="100"/>
      <c r="BG4" s="100"/>
      <c r="BH4" s="65" t="s">
        <v>36</v>
      </c>
      <c r="BI4" s="65"/>
      <c r="BJ4" s="65"/>
      <c r="BK4" s="100" t="str">
        <f>IFERROR(IF(VLOOKUP(BP5,#REF!,150,FALSE)="","",VLOOKUP(BP5,#REF!,150,FALSE)),"")</f>
        <v/>
      </c>
      <c r="BL4" s="100"/>
      <c r="BM4" s="100"/>
      <c r="BN4" s="100"/>
      <c r="BO4" s="100"/>
      <c r="BP4" s="41"/>
    </row>
    <row r="5" spans="1:68" x14ac:dyDescent="0.35">
      <c r="A5" s="67" t="s">
        <v>37</v>
      </c>
      <c r="B5" s="67"/>
      <c r="C5" s="67"/>
      <c r="D5" s="67"/>
      <c r="E5" s="67"/>
      <c r="F5" s="67"/>
      <c r="G5" s="100" t="str">
        <f>IFERROR(IF(VLOOKUP(BP5,#REF!,148,FALSE)="","",VLOOKUP(BP5,#REF!,148,FALSE)),"")</f>
        <v/>
      </c>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65" t="s">
        <v>38</v>
      </c>
      <c r="AO5" s="65"/>
      <c r="AP5" s="65"/>
      <c r="AQ5" s="65"/>
      <c r="AR5" s="65"/>
      <c r="AS5" s="100" t="str">
        <f>IFERROR(IF(VLOOKUP(BP5,#REF!,149,FALSE)="","",VLOOKUP(BP5,#REF!,149,FALSE)),"")</f>
        <v/>
      </c>
      <c r="AT5" s="100"/>
      <c r="AU5" s="100"/>
      <c r="AV5" s="100"/>
      <c r="AW5" s="100"/>
      <c r="AX5" s="100"/>
      <c r="AY5" s="100"/>
      <c r="AZ5" s="100"/>
      <c r="BA5" s="100"/>
      <c r="BB5" s="100"/>
      <c r="BC5" s="100"/>
      <c r="BD5" s="100"/>
      <c r="BE5" s="100"/>
      <c r="BF5" s="100"/>
      <c r="BG5" s="100"/>
      <c r="BH5" s="100"/>
      <c r="BI5" s="100"/>
      <c r="BJ5" s="100"/>
      <c r="BK5" s="100"/>
      <c r="BL5" s="100"/>
      <c r="BM5" s="100"/>
      <c r="BN5" s="100"/>
      <c r="BO5" s="100"/>
      <c r="BP5" s="40" t="str">
        <f>IF(BP4="","",VLOOKUP(BP4,#REF!,3,FALSE))</f>
        <v/>
      </c>
    </row>
    <row r="6" spans="1:68" ht="3" customHeight="1" thickBot="1" x14ac:dyDescent="0.4">
      <c r="A6" s="89"/>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c r="BF6" s="89"/>
      <c r="BG6" s="89"/>
      <c r="BH6" s="89"/>
      <c r="BI6" s="89"/>
      <c r="BJ6" s="89"/>
      <c r="BK6" s="89"/>
      <c r="BL6" s="89"/>
      <c r="BM6" s="89"/>
      <c r="BN6" s="89"/>
      <c r="BO6" s="89"/>
    </row>
    <row r="7" spans="1:68" ht="11.25" customHeight="1" x14ac:dyDescent="0.35">
      <c r="A7" s="47" t="s">
        <v>39</v>
      </c>
      <c r="B7" s="48"/>
      <c r="C7" s="48"/>
      <c r="D7" s="48"/>
      <c r="E7" s="48"/>
      <c r="F7" s="48"/>
      <c r="G7" s="48"/>
      <c r="H7" s="49"/>
      <c r="I7" s="56" t="s">
        <v>3</v>
      </c>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8"/>
      <c r="AT7" s="174" t="s">
        <v>4</v>
      </c>
      <c r="AU7" s="174"/>
      <c r="AV7" s="174"/>
      <c r="AW7" s="174"/>
      <c r="AX7" s="174"/>
      <c r="AY7" s="174"/>
      <c r="AZ7" s="174"/>
      <c r="BA7" s="174"/>
      <c r="BB7" s="174"/>
      <c r="BC7" s="174"/>
      <c r="BD7" s="43" t="s">
        <v>40</v>
      </c>
      <c r="BE7" s="43"/>
      <c r="BF7" s="43"/>
      <c r="BG7" s="43"/>
      <c r="BH7" s="43"/>
      <c r="BI7" s="43" t="s">
        <v>41</v>
      </c>
      <c r="BJ7" s="43"/>
      <c r="BK7" s="43"/>
      <c r="BL7" s="43"/>
      <c r="BM7" s="43"/>
      <c r="BN7" s="43"/>
      <c r="BO7" s="45"/>
    </row>
    <row r="8" spans="1:68" ht="11.25" customHeight="1" x14ac:dyDescent="0.35">
      <c r="A8" s="50"/>
      <c r="B8" s="51"/>
      <c r="C8" s="51"/>
      <c r="D8" s="51"/>
      <c r="E8" s="51"/>
      <c r="F8" s="51"/>
      <c r="G8" s="51"/>
      <c r="H8" s="52"/>
      <c r="I8" s="59"/>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1"/>
      <c r="AT8" s="109"/>
      <c r="AU8" s="109"/>
      <c r="AV8" s="109"/>
      <c r="AW8" s="109"/>
      <c r="AX8" s="109"/>
      <c r="AY8" s="109"/>
      <c r="AZ8" s="109"/>
      <c r="BA8" s="109"/>
      <c r="BB8" s="109"/>
      <c r="BC8" s="109"/>
      <c r="BD8" s="44"/>
      <c r="BE8" s="44"/>
      <c r="BF8" s="44"/>
      <c r="BG8" s="44"/>
      <c r="BH8" s="44"/>
      <c r="BI8" s="44"/>
      <c r="BJ8" s="44"/>
      <c r="BK8" s="44"/>
      <c r="BL8" s="44"/>
      <c r="BM8" s="44"/>
      <c r="BN8" s="44"/>
      <c r="BO8" s="46"/>
    </row>
    <row r="9" spans="1:68" ht="11.25" customHeight="1" x14ac:dyDescent="0.35">
      <c r="A9" s="50"/>
      <c r="B9" s="51"/>
      <c r="C9" s="51"/>
      <c r="D9" s="51"/>
      <c r="E9" s="51"/>
      <c r="F9" s="51"/>
      <c r="G9" s="51"/>
      <c r="H9" s="52"/>
      <c r="I9" s="59"/>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1"/>
      <c r="AT9" s="109" t="str">
        <f>IF(BK4="","",IF(BK4="1ST","1ST",IF(BK4="2ND","3RD")))</f>
        <v/>
      </c>
      <c r="AU9" s="109"/>
      <c r="AV9" s="109"/>
      <c r="AW9" s="109"/>
      <c r="AX9" s="109"/>
      <c r="AY9" s="109" t="str">
        <f>IF(BK4="","",IF(BK4="1ST","2ND",IF(BK4="2ND","4TH")))</f>
        <v/>
      </c>
      <c r="AZ9" s="109"/>
      <c r="BA9" s="109"/>
      <c r="BB9" s="109"/>
      <c r="BC9" s="109"/>
      <c r="BD9" s="44"/>
      <c r="BE9" s="44"/>
      <c r="BF9" s="44"/>
      <c r="BG9" s="44"/>
      <c r="BH9" s="44"/>
      <c r="BI9" s="44"/>
      <c r="BJ9" s="44"/>
      <c r="BK9" s="44"/>
      <c r="BL9" s="44"/>
      <c r="BM9" s="44"/>
      <c r="BN9" s="44"/>
      <c r="BO9" s="46"/>
    </row>
    <row r="10" spans="1:68" ht="11.25" customHeight="1" x14ac:dyDescent="0.35">
      <c r="A10" s="53"/>
      <c r="B10" s="54"/>
      <c r="C10" s="54"/>
      <c r="D10" s="54"/>
      <c r="E10" s="54"/>
      <c r="F10" s="54"/>
      <c r="G10" s="54"/>
      <c r="H10" s="55"/>
      <c r="I10" s="62"/>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4"/>
      <c r="AT10" s="109"/>
      <c r="AU10" s="109"/>
      <c r="AV10" s="109"/>
      <c r="AW10" s="109"/>
      <c r="AX10" s="109"/>
      <c r="AY10" s="109"/>
      <c r="AZ10" s="109"/>
      <c r="BA10" s="109"/>
      <c r="BB10" s="109"/>
      <c r="BC10" s="109"/>
      <c r="BD10" s="44"/>
      <c r="BE10" s="44"/>
      <c r="BF10" s="44"/>
      <c r="BG10" s="44"/>
      <c r="BH10" s="44"/>
      <c r="BI10" s="44"/>
      <c r="BJ10" s="44"/>
      <c r="BK10" s="44"/>
      <c r="BL10" s="44"/>
      <c r="BM10" s="44"/>
      <c r="BN10" s="44"/>
      <c r="BO10" s="46"/>
    </row>
    <row r="11" spans="1:68" ht="20.25" customHeight="1" x14ac:dyDescent="0.35">
      <c r="A11" s="69" t="str">
        <f>IFERROR(VLOOKUP(I11,#REF!,2,FALSE),"")</f>
        <v/>
      </c>
      <c r="B11" s="70"/>
      <c r="C11" s="70"/>
      <c r="D11" s="70"/>
      <c r="E11" s="70"/>
      <c r="F11" s="70"/>
      <c r="G11" s="70"/>
      <c r="H11" s="71"/>
      <c r="I11" s="75" t="str">
        <f>IFERROR(IF(VLOOKUP(BP5,#REF!,151,FALSE)="","",VLOOKUP(BP5,#REF!,151,FALSE)),"")</f>
        <v/>
      </c>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7"/>
      <c r="AT11" s="72" t="str">
        <f>IFERROR(IF(VLOOKUP(BP5,#REF!,152,FALSE)="","",VLOOKUP(BP5,#REF!,152,FALSE)),"")</f>
        <v/>
      </c>
      <c r="AU11" s="72"/>
      <c r="AV11" s="72"/>
      <c r="AW11" s="72"/>
      <c r="AX11" s="72"/>
      <c r="AY11" s="72" t="str">
        <f>IFERROR(IF(VLOOKUP(BP5,#REF!,153,FALSE)="","",VLOOKUP(BP5,#REF!,153,FALSE)),"")</f>
        <v/>
      </c>
      <c r="AZ11" s="72"/>
      <c r="BA11" s="72"/>
      <c r="BB11" s="72"/>
      <c r="BC11" s="72"/>
      <c r="BD11" s="73" t="str">
        <f>IF(OR(AT11="",AY11=""),"",IF(ISERROR(ROUND(AVERAGE(AT11,AY11),0)),"",ROUND(AVERAGE(AT11,AY11),0)))</f>
        <v/>
      </c>
      <c r="BE11" s="73"/>
      <c r="BF11" s="73"/>
      <c r="BG11" s="73"/>
      <c r="BH11" s="73"/>
      <c r="BI11" s="168" t="str">
        <f>IF(OR(AT11="",AY11="",BD11=""),"",IF(BD11&gt;=75,"PASSED","FAILED"))</f>
        <v/>
      </c>
      <c r="BJ11" s="168"/>
      <c r="BK11" s="168"/>
      <c r="BL11" s="168"/>
      <c r="BM11" s="168"/>
      <c r="BN11" s="168"/>
      <c r="BO11" s="169"/>
    </row>
    <row r="12" spans="1:68" ht="20.25" customHeight="1" x14ac:dyDescent="0.35">
      <c r="A12" s="69" t="str">
        <f>IFERROR(VLOOKUP(I12,#REF!,2,FALSE),"")</f>
        <v/>
      </c>
      <c r="B12" s="70"/>
      <c r="C12" s="70"/>
      <c r="D12" s="70"/>
      <c r="E12" s="70"/>
      <c r="F12" s="70"/>
      <c r="G12" s="70"/>
      <c r="H12" s="71"/>
      <c r="I12" s="75" t="str">
        <f>IFERROR(IF(VLOOKUP(BP5,#REF!,155,FALSE)="","",VLOOKUP(BP5,#REF!,155,FALSE)),"")</f>
        <v/>
      </c>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7"/>
      <c r="AT12" s="72" t="str">
        <f>IFERROR(IF(VLOOKUP(BP5,#REF!,156,FALSE)="","",VLOOKUP(BP5,#REF!,156,FALSE)),"")</f>
        <v/>
      </c>
      <c r="AU12" s="72"/>
      <c r="AV12" s="72"/>
      <c r="AW12" s="72"/>
      <c r="AX12" s="72"/>
      <c r="AY12" s="72" t="str">
        <f>IFERROR(IF(VLOOKUP(BP5,#REF!,157,FALSE)="","",VLOOKUP(BP5,#REF!,157,FALSE)),"")</f>
        <v/>
      </c>
      <c r="AZ12" s="72"/>
      <c r="BA12" s="72"/>
      <c r="BB12" s="72"/>
      <c r="BC12" s="72"/>
      <c r="BD12" s="73" t="str">
        <f>IF(OR(AT12="",AY12=""),"",IF(ISERROR(ROUND(AVERAGE(AT12,AY12),0)),"",ROUND(AVERAGE(AT12,AY12),0)))</f>
        <v/>
      </c>
      <c r="BE12" s="73"/>
      <c r="BF12" s="73"/>
      <c r="BG12" s="73"/>
      <c r="BH12" s="73"/>
      <c r="BI12" s="157" t="str">
        <f t="shared" ref="BI12:BI22" si="0">IF(OR(AT12="",AY12="",BD12=""),"",IF(BD12&gt;=75,"PASSED","FAILED"))</f>
        <v/>
      </c>
      <c r="BJ12" s="158"/>
      <c r="BK12" s="158"/>
      <c r="BL12" s="158"/>
      <c r="BM12" s="158"/>
      <c r="BN12" s="158"/>
      <c r="BO12" s="159"/>
    </row>
    <row r="13" spans="1:68" ht="20.25" customHeight="1" x14ac:dyDescent="0.35">
      <c r="A13" s="69" t="str">
        <f>IFERROR(VLOOKUP(I13,#REF!,2,FALSE),"")</f>
        <v/>
      </c>
      <c r="B13" s="70"/>
      <c r="C13" s="70"/>
      <c r="D13" s="70"/>
      <c r="E13" s="70"/>
      <c r="F13" s="70"/>
      <c r="G13" s="70"/>
      <c r="H13" s="71"/>
      <c r="I13" s="75" t="str">
        <f>IFERROR(IF(VLOOKUP(BP5,#REF!,159,FALSE)="","",VLOOKUP(BP5,#REF!,159,FALSE)),"")</f>
        <v/>
      </c>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7"/>
      <c r="AT13" s="72" t="str">
        <f>IFERROR(IF(VLOOKUP(BP5,#REF!,160,FALSE)="","",VLOOKUP(BP5,#REF!,160,FALSE)),"")</f>
        <v/>
      </c>
      <c r="AU13" s="72"/>
      <c r="AV13" s="72"/>
      <c r="AW13" s="72"/>
      <c r="AX13" s="72"/>
      <c r="AY13" s="72" t="str">
        <f>IFERROR(IF(VLOOKUP(BP5,#REF!,161,FALSE)="","",VLOOKUP(BP5,#REF!,161,FALSE)),"")</f>
        <v/>
      </c>
      <c r="AZ13" s="72"/>
      <c r="BA13" s="72"/>
      <c r="BB13" s="72"/>
      <c r="BC13" s="72"/>
      <c r="BD13" s="73" t="str">
        <f t="shared" ref="BD13:BD22" si="1">IF(OR(AT13="",AY13=""),"",IF(ISERROR(ROUND(AVERAGE(AT13,AY13),0)),"",ROUND(AVERAGE(AT13,AY13),0)))</f>
        <v/>
      </c>
      <c r="BE13" s="73"/>
      <c r="BF13" s="73"/>
      <c r="BG13" s="73"/>
      <c r="BH13" s="73"/>
      <c r="BI13" s="157" t="str">
        <f t="shared" si="0"/>
        <v/>
      </c>
      <c r="BJ13" s="158"/>
      <c r="BK13" s="158"/>
      <c r="BL13" s="158"/>
      <c r="BM13" s="158"/>
      <c r="BN13" s="158"/>
      <c r="BO13" s="159"/>
    </row>
    <row r="14" spans="1:68" ht="20.25" customHeight="1" x14ac:dyDescent="0.35">
      <c r="A14" s="69" t="str">
        <f>IFERROR(VLOOKUP(I14,#REF!,2,FALSE),"")</f>
        <v/>
      </c>
      <c r="B14" s="70"/>
      <c r="C14" s="70"/>
      <c r="D14" s="70"/>
      <c r="E14" s="70"/>
      <c r="F14" s="70"/>
      <c r="G14" s="70"/>
      <c r="H14" s="71"/>
      <c r="I14" s="75" t="str">
        <f>IFERROR(IF(VLOOKUP(BP5,#REF!,163,FALSE)="","",VLOOKUP(BP5,#REF!,163,FALSE)),"")</f>
        <v/>
      </c>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7"/>
      <c r="AT14" s="72" t="str">
        <f>IFERROR(IF(VLOOKUP(BP5,#REF!,164,FALSE)="","",VLOOKUP(BP5,#REF!,164,FALSE)),"")</f>
        <v/>
      </c>
      <c r="AU14" s="72"/>
      <c r="AV14" s="72"/>
      <c r="AW14" s="72"/>
      <c r="AX14" s="72"/>
      <c r="AY14" s="72" t="str">
        <f>IFERROR(IF(VLOOKUP(BP5,#REF!,165,FALSE)="","",VLOOKUP(BP5,#REF!,165,FALSE)),"")</f>
        <v/>
      </c>
      <c r="AZ14" s="72"/>
      <c r="BA14" s="72"/>
      <c r="BB14" s="72"/>
      <c r="BC14" s="72"/>
      <c r="BD14" s="73" t="str">
        <f t="shared" si="1"/>
        <v/>
      </c>
      <c r="BE14" s="73"/>
      <c r="BF14" s="73"/>
      <c r="BG14" s="73"/>
      <c r="BH14" s="73"/>
      <c r="BI14" s="157" t="str">
        <f t="shared" si="0"/>
        <v/>
      </c>
      <c r="BJ14" s="158"/>
      <c r="BK14" s="158"/>
      <c r="BL14" s="158"/>
      <c r="BM14" s="158"/>
      <c r="BN14" s="158"/>
      <c r="BO14" s="159"/>
    </row>
    <row r="15" spans="1:68" ht="20.25" customHeight="1" x14ac:dyDescent="0.35">
      <c r="A15" s="69" t="str">
        <f>IFERROR(VLOOKUP(I15,#REF!,2,FALSE),"")</f>
        <v/>
      </c>
      <c r="B15" s="70"/>
      <c r="C15" s="70"/>
      <c r="D15" s="70"/>
      <c r="E15" s="70"/>
      <c r="F15" s="70"/>
      <c r="G15" s="70"/>
      <c r="H15" s="71"/>
      <c r="I15" s="75" t="str">
        <f>IFERROR(IF(VLOOKUP(BP5,#REF!,167,FALSE)="","",VLOOKUP(BP5,#REF!,167,FALSE)),"")</f>
        <v/>
      </c>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7"/>
      <c r="AT15" s="110" t="str">
        <f>IFERROR(IF(VLOOKUP(BP5,#REF!,168,FALSE)="","",VLOOKUP(BP5,#REF!,168,FALSE)),"")</f>
        <v/>
      </c>
      <c r="AU15" s="110"/>
      <c r="AV15" s="110"/>
      <c r="AW15" s="110"/>
      <c r="AX15" s="110"/>
      <c r="AY15" s="110" t="str">
        <f>IFERROR(IF(VLOOKUP(BP5,#REF!,169,FALSE)="","",VLOOKUP(BP5,#REF!,169,FALSE)),"")</f>
        <v/>
      </c>
      <c r="AZ15" s="110"/>
      <c r="BA15" s="110"/>
      <c r="BB15" s="110"/>
      <c r="BC15" s="110"/>
      <c r="BD15" s="73" t="str">
        <f t="shared" si="1"/>
        <v/>
      </c>
      <c r="BE15" s="73"/>
      <c r="BF15" s="73"/>
      <c r="BG15" s="73"/>
      <c r="BH15" s="73"/>
      <c r="BI15" s="157" t="str">
        <f t="shared" si="0"/>
        <v/>
      </c>
      <c r="BJ15" s="158"/>
      <c r="BK15" s="158"/>
      <c r="BL15" s="158"/>
      <c r="BM15" s="158"/>
      <c r="BN15" s="158"/>
      <c r="BO15" s="159"/>
    </row>
    <row r="16" spans="1:68" ht="20.25" customHeight="1" x14ac:dyDescent="0.35">
      <c r="A16" s="69" t="str">
        <f>IFERROR(VLOOKUP(I16,#REF!,2,FALSE),"")</f>
        <v/>
      </c>
      <c r="B16" s="70"/>
      <c r="C16" s="70"/>
      <c r="D16" s="70"/>
      <c r="E16" s="70"/>
      <c r="F16" s="70"/>
      <c r="G16" s="70"/>
      <c r="H16" s="71"/>
      <c r="I16" s="75" t="str">
        <f>IFERROR(IF(VLOOKUP(BP5,#REF!,171,FALSE)="","",VLOOKUP(BP5,#REF!,171,FALSE)),"")</f>
        <v/>
      </c>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7"/>
      <c r="AT16" s="95" t="str">
        <f>IFERROR(IF(VLOOKUP(BP5,#REF!,172,FALSE)="","",VLOOKUP(BP5,#REF!,172,FALSE)),"")</f>
        <v/>
      </c>
      <c r="AU16" s="70"/>
      <c r="AV16" s="70"/>
      <c r="AW16" s="70"/>
      <c r="AX16" s="71"/>
      <c r="AY16" s="95" t="str">
        <f>IFERROR(IF(VLOOKUP(BP5,#REF!,173,FALSE)="","",VLOOKUP(BP5,#REF!,173,FALSE)),"")</f>
        <v/>
      </c>
      <c r="AZ16" s="70"/>
      <c r="BA16" s="70"/>
      <c r="BB16" s="70"/>
      <c r="BC16" s="71"/>
      <c r="BD16" s="73" t="str">
        <f t="shared" si="1"/>
        <v/>
      </c>
      <c r="BE16" s="73"/>
      <c r="BF16" s="73"/>
      <c r="BG16" s="73"/>
      <c r="BH16" s="73"/>
      <c r="BI16" s="157" t="str">
        <f t="shared" si="0"/>
        <v/>
      </c>
      <c r="BJ16" s="158"/>
      <c r="BK16" s="158"/>
      <c r="BL16" s="158"/>
      <c r="BM16" s="158"/>
      <c r="BN16" s="158"/>
      <c r="BO16" s="159"/>
    </row>
    <row r="17" spans="1:67" ht="20.25" customHeight="1" x14ac:dyDescent="0.35">
      <c r="A17" s="69" t="str">
        <f>IFERROR(VLOOKUP(I17,#REF!,2,FALSE),"")</f>
        <v/>
      </c>
      <c r="B17" s="70"/>
      <c r="C17" s="70"/>
      <c r="D17" s="70"/>
      <c r="E17" s="70"/>
      <c r="F17" s="70"/>
      <c r="G17" s="70"/>
      <c r="H17" s="71"/>
      <c r="I17" s="75" t="str">
        <f>IFERROR(IF(VLOOKUP(BP5,#REF!,175,FALSE)="","",VLOOKUP(BP5,#REF!,175,FALSE)),"")</f>
        <v/>
      </c>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7"/>
      <c r="AT17" s="95" t="str">
        <f>IFERROR(IF(VLOOKUP(BP5,#REF!,176,FALSE)="","",VLOOKUP(BP5,#REF!,176,FALSE)),"")</f>
        <v/>
      </c>
      <c r="AU17" s="70"/>
      <c r="AV17" s="70"/>
      <c r="AW17" s="70"/>
      <c r="AX17" s="71"/>
      <c r="AY17" s="95" t="str">
        <f>IFERROR(IF(VLOOKUP(BP5,#REF!,177,FALSE)="","",VLOOKUP(BP5,#REF!,177,FALSE)),"")</f>
        <v/>
      </c>
      <c r="AZ17" s="70"/>
      <c r="BA17" s="70"/>
      <c r="BB17" s="70"/>
      <c r="BC17" s="71"/>
      <c r="BD17" s="73" t="str">
        <f t="shared" si="1"/>
        <v/>
      </c>
      <c r="BE17" s="73"/>
      <c r="BF17" s="73"/>
      <c r="BG17" s="73"/>
      <c r="BH17" s="73"/>
      <c r="BI17" s="157" t="str">
        <f t="shared" si="0"/>
        <v/>
      </c>
      <c r="BJ17" s="158"/>
      <c r="BK17" s="158"/>
      <c r="BL17" s="158"/>
      <c r="BM17" s="158"/>
      <c r="BN17" s="158"/>
      <c r="BO17" s="159"/>
    </row>
    <row r="18" spans="1:67" ht="20.25" customHeight="1" x14ac:dyDescent="0.35">
      <c r="A18" s="69" t="str">
        <f>IFERROR(VLOOKUP(I18,#REF!,2,FALSE),"")</f>
        <v/>
      </c>
      <c r="B18" s="70"/>
      <c r="C18" s="70"/>
      <c r="D18" s="70"/>
      <c r="E18" s="70"/>
      <c r="F18" s="70"/>
      <c r="G18" s="70"/>
      <c r="H18" s="71"/>
      <c r="I18" s="75" t="str">
        <f>IFERROR(IF(VLOOKUP(BP5,#REF!,179,FALSE)="","",VLOOKUP(BP5,#REF!,179,FALSE)),"")</f>
        <v/>
      </c>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7"/>
      <c r="AT18" s="95" t="str">
        <f>IFERROR(IF(VLOOKUP(BP5,#REF!,180,FALSE)="","",VLOOKUP(BP5,#REF!,180,FALSE)),"")</f>
        <v/>
      </c>
      <c r="AU18" s="70"/>
      <c r="AV18" s="70"/>
      <c r="AW18" s="70"/>
      <c r="AX18" s="71"/>
      <c r="AY18" s="95" t="str">
        <f>IFERROR(IF(VLOOKUP(BP5,#REF!,181,FALSE)="","",VLOOKUP(BP5,#REF!,181,FALSE)),"")</f>
        <v/>
      </c>
      <c r="AZ18" s="70"/>
      <c r="BA18" s="70"/>
      <c r="BB18" s="70"/>
      <c r="BC18" s="71"/>
      <c r="BD18" s="73" t="str">
        <f t="shared" si="1"/>
        <v/>
      </c>
      <c r="BE18" s="73"/>
      <c r="BF18" s="73"/>
      <c r="BG18" s="73"/>
      <c r="BH18" s="73"/>
      <c r="BI18" s="157" t="str">
        <f t="shared" si="0"/>
        <v/>
      </c>
      <c r="BJ18" s="158"/>
      <c r="BK18" s="158"/>
      <c r="BL18" s="158"/>
      <c r="BM18" s="158"/>
      <c r="BN18" s="158"/>
      <c r="BO18" s="159"/>
    </row>
    <row r="19" spans="1:67" ht="20.25" customHeight="1" x14ac:dyDescent="0.35">
      <c r="A19" s="69" t="str">
        <f>IFERROR(VLOOKUP(I19,#REF!,2,FALSE),"")</f>
        <v/>
      </c>
      <c r="B19" s="70"/>
      <c r="C19" s="70"/>
      <c r="D19" s="70"/>
      <c r="E19" s="70"/>
      <c r="F19" s="70"/>
      <c r="G19" s="70"/>
      <c r="H19" s="71"/>
      <c r="I19" s="75" t="str">
        <f>IFERROR(IF(VLOOKUP(BP5,#REF!,183,FALSE)="","",VLOOKUP(BP5,#REF!,183,FALSE)),"")</f>
        <v/>
      </c>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7"/>
      <c r="AT19" s="95" t="str">
        <f>IFERROR(IF(VLOOKUP(BP5,#REF!,184,FALSE)="","",VLOOKUP(BP5,#REF!,184,FALSE)),"")</f>
        <v/>
      </c>
      <c r="AU19" s="70"/>
      <c r="AV19" s="70"/>
      <c r="AW19" s="70"/>
      <c r="AX19" s="71"/>
      <c r="AY19" s="95" t="str">
        <f>IFERROR(IF(VLOOKUP(BP5,#REF!,185,FALSE)="","",VLOOKUP(BP5,#REF!,185,FALSE)),"")</f>
        <v/>
      </c>
      <c r="AZ19" s="70"/>
      <c r="BA19" s="70"/>
      <c r="BB19" s="70"/>
      <c r="BC19" s="71"/>
      <c r="BD19" s="73" t="str">
        <f t="shared" si="1"/>
        <v/>
      </c>
      <c r="BE19" s="73"/>
      <c r="BF19" s="73"/>
      <c r="BG19" s="73"/>
      <c r="BH19" s="73"/>
      <c r="BI19" s="157" t="str">
        <f t="shared" si="0"/>
        <v/>
      </c>
      <c r="BJ19" s="158"/>
      <c r="BK19" s="158"/>
      <c r="BL19" s="158"/>
      <c r="BM19" s="158"/>
      <c r="BN19" s="158"/>
      <c r="BO19" s="159"/>
    </row>
    <row r="20" spans="1:67" ht="20.25" customHeight="1" x14ac:dyDescent="0.35">
      <c r="A20" s="69" t="str">
        <f>IFERROR(VLOOKUP(I20,#REF!,2,FALSE),"")</f>
        <v/>
      </c>
      <c r="B20" s="70"/>
      <c r="C20" s="70"/>
      <c r="D20" s="70"/>
      <c r="E20" s="70"/>
      <c r="F20" s="70"/>
      <c r="G20" s="70"/>
      <c r="H20" s="71"/>
      <c r="I20" s="75" t="str">
        <f>IFERROR(IF(VLOOKUP(BP5,#REF!,187,FALSE)="","",VLOOKUP(BP5,#REF!,187,FALSE)),"")</f>
        <v/>
      </c>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7"/>
      <c r="AT20" s="146" t="str">
        <f>IFERROR(IF(VLOOKUP(BP5,#REF!,188,FALSE)="","",VLOOKUP(BP5,#REF!,188,FALSE)),"")</f>
        <v/>
      </c>
      <c r="AU20" s="146"/>
      <c r="AV20" s="146"/>
      <c r="AW20" s="146"/>
      <c r="AX20" s="146"/>
      <c r="AY20" s="146" t="str">
        <f>IFERROR(IF(VLOOKUP(BP5,#REF!,189,FALSE)="","",VLOOKUP(BP5,#REF!,189,FALSE)),"")</f>
        <v/>
      </c>
      <c r="AZ20" s="146"/>
      <c r="BA20" s="146"/>
      <c r="BB20" s="146"/>
      <c r="BC20" s="146"/>
      <c r="BD20" s="73" t="str">
        <f t="shared" si="1"/>
        <v/>
      </c>
      <c r="BE20" s="73"/>
      <c r="BF20" s="73"/>
      <c r="BG20" s="73"/>
      <c r="BH20" s="73"/>
      <c r="BI20" s="157" t="str">
        <f t="shared" si="0"/>
        <v/>
      </c>
      <c r="BJ20" s="158"/>
      <c r="BK20" s="158"/>
      <c r="BL20" s="158"/>
      <c r="BM20" s="158"/>
      <c r="BN20" s="158"/>
      <c r="BO20" s="159"/>
    </row>
    <row r="21" spans="1:67" ht="20.25" customHeight="1" x14ac:dyDescent="0.35">
      <c r="A21" s="69" t="str">
        <f>IFERROR(VLOOKUP(I21,#REF!,2,FALSE),"")</f>
        <v/>
      </c>
      <c r="B21" s="70"/>
      <c r="C21" s="70"/>
      <c r="D21" s="70"/>
      <c r="E21" s="70"/>
      <c r="F21" s="70"/>
      <c r="G21" s="70"/>
      <c r="H21" s="71"/>
      <c r="I21" s="75" t="str">
        <f>IFERROR(IF(VLOOKUP(BP5,#REF!,191,FALSE)="","",VLOOKUP(BP5,#REF!,191,FALSE)),"")</f>
        <v/>
      </c>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7"/>
      <c r="AT21" s="72" t="str">
        <f>IFERROR(IF(VLOOKUP(BP5,#REF!,192,FALSE)="","",VLOOKUP(BP5,#REF!,192,FALSE)),"")</f>
        <v/>
      </c>
      <c r="AU21" s="72"/>
      <c r="AV21" s="72"/>
      <c r="AW21" s="72"/>
      <c r="AX21" s="72"/>
      <c r="AY21" s="72" t="str">
        <f>IFERROR(IF(VLOOKUP(BP5,#REF!,193,FALSE)="","",VLOOKUP(BP5,#REF!,193,FALSE)),"")</f>
        <v/>
      </c>
      <c r="AZ21" s="72"/>
      <c r="BA21" s="72"/>
      <c r="BB21" s="72"/>
      <c r="BC21" s="72"/>
      <c r="BD21" s="73" t="str">
        <f t="shared" si="1"/>
        <v/>
      </c>
      <c r="BE21" s="73"/>
      <c r="BF21" s="73"/>
      <c r="BG21" s="73"/>
      <c r="BH21" s="73"/>
      <c r="BI21" s="157" t="str">
        <f t="shared" si="0"/>
        <v/>
      </c>
      <c r="BJ21" s="158"/>
      <c r="BK21" s="158"/>
      <c r="BL21" s="158"/>
      <c r="BM21" s="158"/>
      <c r="BN21" s="158"/>
      <c r="BO21" s="159"/>
    </row>
    <row r="22" spans="1:67" ht="20.25" customHeight="1" x14ac:dyDescent="0.35">
      <c r="A22" s="69" t="str">
        <f>IFERROR(VLOOKUP(I22,#REF!,2,FALSE),"")</f>
        <v/>
      </c>
      <c r="B22" s="70"/>
      <c r="C22" s="70"/>
      <c r="D22" s="70"/>
      <c r="E22" s="70"/>
      <c r="F22" s="70"/>
      <c r="G22" s="70"/>
      <c r="H22" s="71"/>
      <c r="I22" s="75" t="str">
        <f>IFERROR(IF(VLOOKUP(BP5,#REF!,195,FALSE)="","",VLOOKUP(BP5,#REF!,195,FALSE)),"")</f>
        <v/>
      </c>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7"/>
      <c r="AT22" s="72" t="str">
        <f>IFERROR(IF(VLOOKUP(BP5,#REF!,196,FALSE)="","",VLOOKUP(BP5,#REF!,196,FALSE)),"")</f>
        <v/>
      </c>
      <c r="AU22" s="72"/>
      <c r="AV22" s="72"/>
      <c r="AW22" s="72"/>
      <c r="AX22" s="72"/>
      <c r="AY22" s="72" t="str">
        <f>IFERROR(IF(VLOOKUP(BP5,#REF!,197,FALSE)="","",VLOOKUP(BP5,#REF!,197,FALSE)),"")</f>
        <v/>
      </c>
      <c r="AZ22" s="72"/>
      <c r="BA22" s="72"/>
      <c r="BB22" s="72"/>
      <c r="BC22" s="72"/>
      <c r="BD22" s="92" t="str">
        <f t="shared" si="1"/>
        <v/>
      </c>
      <c r="BE22" s="93"/>
      <c r="BF22" s="93"/>
      <c r="BG22" s="93"/>
      <c r="BH22" s="94"/>
      <c r="BI22" s="157" t="str">
        <f t="shared" si="0"/>
        <v/>
      </c>
      <c r="BJ22" s="158"/>
      <c r="BK22" s="158"/>
      <c r="BL22" s="158"/>
      <c r="BM22" s="158"/>
      <c r="BN22" s="158"/>
      <c r="BO22" s="159"/>
    </row>
    <row r="23" spans="1:67" ht="20.25" customHeight="1" thickBot="1" x14ac:dyDescent="0.4">
      <c r="A23" s="78" t="s">
        <v>42</v>
      </c>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138" t="str">
        <f>IFERROR(ROUND((SUM(BD11:BD22,BD38:BD41)-SUM(AT38:AT41))/(COUNTA(BD11:BD22)-COUNTBLANK(BD11:BD22)),0),"")</f>
        <v/>
      </c>
      <c r="BE23" s="139"/>
      <c r="BF23" s="139"/>
      <c r="BG23" s="139"/>
      <c r="BH23" s="140"/>
      <c r="BI23" s="171" t="str">
        <f>IF(BD23="","",IF(BD23&gt;=75,"PASSED","FAILED"))</f>
        <v/>
      </c>
      <c r="BJ23" s="172"/>
      <c r="BK23" s="172"/>
      <c r="BL23" s="172"/>
      <c r="BM23" s="172"/>
      <c r="BN23" s="172"/>
      <c r="BO23" s="173"/>
    </row>
    <row r="24" spans="1:67" ht="3" customHeight="1" x14ac:dyDescent="0.35">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row>
    <row r="25" spans="1:67" x14ac:dyDescent="0.35">
      <c r="A25" s="42" t="s">
        <v>43</v>
      </c>
      <c r="B25" s="42"/>
      <c r="C25" s="42"/>
      <c r="D25" s="42"/>
      <c r="E25" s="42"/>
      <c r="F25" s="130" t="str">
        <f>IFERROR(IF(VLOOKUP(BP5,#REF!,200,FALSE)="","",VLOOKUP(BP5,#REF!,200,FALSE)),"")</f>
        <v/>
      </c>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row>
    <row r="26" spans="1:67" ht="3" customHeight="1" x14ac:dyDescent="0.35">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5">
      <c r="A27" s="42" t="s">
        <v>44</v>
      </c>
      <c r="B27" s="42"/>
      <c r="C27" s="42"/>
      <c r="D27" s="42"/>
      <c r="E27" s="42"/>
      <c r="F27" s="1"/>
      <c r="G27" s="1"/>
      <c r="H27" s="1"/>
      <c r="I27" s="1"/>
      <c r="J27" s="1"/>
      <c r="K27" s="1"/>
      <c r="L27" s="1"/>
      <c r="M27" s="1"/>
      <c r="N27" s="1"/>
      <c r="O27" s="1"/>
      <c r="P27" s="1"/>
      <c r="Q27" s="1"/>
      <c r="R27" s="1"/>
      <c r="S27" s="1"/>
      <c r="T27" s="1"/>
      <c r="U27" s="1"/>
      <c r="V27" s="42" t="s">
        <v>45</v>
      </c>
      <c r="W27" s="42"/>
      <c r="X27" s="42"/>
      <c r="Y27" s="42"/>
      <c r="Z27" s="42"/>
      <c r="AA27" s="42"/>
      <c r="AB27" s="42"/>
      <c r="AC27" s="42"/>
      <c r="AD27" s="42"/>
      <c r="AE27" s="42"/>
      <c r="AF27" s="4"/>
      <c r="AG27" s="67"/>
      <c r="AH27" s="67"/>
      <c r="AI27" s="67"/>
      <c r="AJ27" s="67"/>
      <c r="AK27" s="67"/>
      <c r="AL27" s="67"/>
      <c r="AM27" s="67"/>
      <c r="AN27" s="67"/>
      <c r="AO27" s="67"/>
      <c r="AP27" s="67"/>
      <c r="AQ27" s="67"/>
      <c r="AR27" s="67"/>
      <c r="AS27" s="67"/>
      <c r="AT27" s="67"/>
      <c r="AU27" s="1"/>
      <c r="AV27" s="4"/>
      <c r="AW27" s="4"/>
      <c r="AX27" s="4"/>
      <c r="AY27" s="4"/>
      <c r="AZ27" s="4" t="s">
        <v>46</v>
      </c>
      <c r="BA27" s="4"/>
      <c r="BB27" s="4"/>
      <c r="BC27" s="4"/>
      <c r="BD27" s="4"/>
      <c r="BE27" s="4"/>
      <c r="BF27" s="4"/>
      <c r="BG27" s="1"/>
      <c r="BH27" s="1"/>
      <c r="BI27" s="1"/>
      <c r="BJ27" s="1"/>
      <c r="BK27" s="1"/>
      <c r="BL27" s="1"/>
      <c r="BM27" s="1"/>
      <c r="BN27" s="1"/>
      <c r="BO27" s="1"/>
    </row>
    <row r="28" spans="1:67" x14ac:dyDescent="0.35">
      <c r="A28" s="68"/>
      <c r="B28" s="68"/>
      <c r="C28" s="68"/>
      <c r="D28" s="68"/>
      <c r="E28" s="68"/>
      <c r="F28" s="68"/>
      <c r="G28" s="68"/>
      <c r="H28" s="68"/>
      <c r="I28" s="68"/>
      <c r="J28" s="68"/>
      <c r="K28" s="68"/>
      <c r="L28" s="68"/>
      <c r="M28" s="68"/>
      <c r="N28" s="68"/>
      <c r="O28" s="68"/>
      <c r="P28" s="68"/>
      <c r="Q28" s="68"/>
      <c r="R28" s="4"/>
      <c r="S28" s="4"/>
      <c r="T28" s="4"/>
      <c r="U28" s="4"/>
      <c r="V28" s="4"/>
      <c r="W28" s="4"/>
      <c r="X28" s="4"/>
      <c r="Y28" s="67"/>
      <c r="Z28" s="67"/>
      <c r="AA28" s="67"/>
      <c r="AB28" s="67"/>
      <c r="AC28" s="67"/>
      <c r="AD28" s="67"/>
      <c r="AE28" s="67"/>
      <c r="AF28" s="67"/>
      <c r="AG28" s="67"/>
      <c r="AH28" s="67"/>
      <c r="AI28" s="67"/>
      <c r="AJ28" s="67"/>
      <c r="AK28" s="67"/>
      <c r="AL28" s="67"/>
      <c r="AM28" s="67"/>
      <c r="AN28" s="67"/>
      <c r="AO28" s="67"/>
      <c r="AP28" s="4"/>
      <c r="AQ28" s="4"/>
      <c r="AR28" s="4"/>
      <c r="AS28" s="4"/>
      <c r="AT28" s="1"/>
      <c r="AU28" s="68"/>
      <c r="AV28" s="68"/>
      <c r="AW28" s="68"/>
      <c r="AX28" s="68"/>
      <c r="AY28" s="68"/>
      <c r="AZ28" s="68"/>
      <c r="BA28" s="68"/>
      <c r="BB28" s="68"/>
      <c r="BC28" s="68"/>
      <c r="BD28" s="68"/>
      <c r="BE28" s="1"/>
      <c r="BF28" s="1"/>
      <c r="BG28" s="1"/>
      <c r="BH28" s="1"/>
      <c r="BI28" s="1"/>
      <c r="BJ28" s="1"/>
      <c r="BK28" s="1"/>
      <c r="BL28" s="1"/>
      <c r="BM28" s="1"/>
      <c r="BN28" s="1"/>
      <c r="BO28" s="1"/>
    </row>
    <row r="29" spans="1:67" x14ac:dyDescent="0.35">
      <c r="A29" s="81" t="str">
        <f>IFERROR(IF(VLOOKUP(BP5,#REF!,261,FALSE)="","",VLOOKUP(BP5,#REF!,261,FALSE)),"")</f>
        <v/>
      </c>
      <c r="B29" s="81"/>
      <c r="C29" s="81"/>
      <c r="D29" s="81"/>
      <c r="E29" s="81"/>
      <c r="F29" s="81"/>
      <c r="G29" s="81"/>
      <c r="H29" s="81"/>
      <c r="I29" s="81"/>
      <c r="J29" s="81"/>
      <c r="K29" s="81"/>
      <c r="L29" s="81"/>
      <c r="M29" s="81"/>
      <c r="N29" s="81"/>
      <c r="O29" s="81"/>
      <c r="P29" s="81"/>
      <c r="Q29" s="81"/>
      <c r="R29" s="81"/>
      <c r="S29" s="81"/>
      <c r="T29" s="1"/>
      <c r="U29" s="1"/>
      <c r="V29" s="1"/>
      <c r="W29" s="1"/>
      <c r="X29" s="1"/>
      <c r="Y29" s="81" t="str">
        <f>IF(A29="","","MARILOU M. ALBAY, OIC - Registrar")</f>
        <v/>
      </c>
      <c r="Z29" s="81"/>
      <c r="AA29" s="81"/>
      <c r="AB29" s="81"/>
      <c r="AC29" s="81"/>
      <c r="AD29" s="81"/>
      <c r="AE29" s="81"/>
      <c r="AF29" s="81"/>
      <c r="AG29" s="81"/>
      <c r="AH29" s="81"/>
      <c r="AI29" s="81"/>
      <c r="AJ29" s="81"/>
      <c r="AK29" s="81"/>
      <c r="AL29" s="81"/>
      <c r="AM29" s="81"/>
      <c r="AN29" s="81"/>
      <c r="AO29" s="81"/>
      <c r="AP29" s="81"/>
      <c r="AQ29" s="81"/>
      <c r="AR29" s="81"/>
      <c r="AS29" s="81"/>
      <c r="AT29" s="1"/>
      <c r="AU29" s="29"/>
      <c r="AV29" s="29"/>
      <c r="AW29" s="29"/>
      <c r="AX29" s="29"/>
      <c r="AY29" s="29"/>
      <c r="AZ29" s="167"/>
      <c r="BA29" s="82"/>
      <c r="BB29" s="82"/>
      <c r="BC29" s="82"/>
      <c r="BD29" s="82"/>
      <c r="BE29" s="82"/>
      <c r="BF29" s="82"/>
      <c r="BG29" s="82"/>
      <c r="BH29" s="82"/>
      <c r="BI29" s="82"/>
      <c r="BJ29" s="82"/>
      <c r="BK29" s="82"/>
      <c r="BL29" s="82"/>
      <c r="BM29" s="82"/>
      <c r="BN29" s="82"/>
      <c r="BO29" s="82"/>
    </row>
    <row r="30" spans="1:67" x14ac:dyDescent="0.35">
      <c r="A30" s="83" t="s">
        <v>47</v>
      </c>
      <c r="B30" s="83"/>
      <c r="C30" s="83"/>
      <c r="D30" s="83"/>
      <c r="E30" s="83"/>
      <c r="F30" s="83"/>
      <c r="G30" s="83"/>
      <c r="H30" s="83"/>
      <c r="I30" s="83"/>
      <c r="J30" s="83"/>
      <c r="K30" s="83"/>
      <c r="L30" s="83"/>
      <c r="M30" s="83"/>
      <c r="N30" s="83"/>
      <c r="O30" s="83"/>
      <c r="P30" s="83"/>
      <c r="Q30" s="83"/>
      <c r="R30" s="83"/>
      <c r="S30" s="83"/>
      <c r="T30" s="4"/>
      <c r="U30" s="4"/>
      <c r="V30" s="1"/>
      <c r="W30" s="1"/>
      <c r="X30" s="1"/>
      <c r="Y30" s="83" t="s">
        <v>48</v>
      </c>
      <c r="Z30" s="83"/>
      <c r="AA30" s="83"/>
      <c r="AB30" s="83"/>
      <c r="AC30" s="83"/>
      <c r="AD30" s="83"/>
      <c r="AE30" s="83"/>
      <c r="AF30" s="83"/>
      <c r="AG30" s="83"/>
      <c r="AH30" s="83"/>
      <c r="AI30" s="83"/>
      <c r="AJ30" s="83"/>
      <c r="AK30" s="83"/>
      <c r="AL30" s="83"/>
      <c r="AM30" s="83"/>
      <c r="AN30" s="83"/>
      <c r="AO30" s="83"/>
      <c r="AP30" s="83"/>
      <c r="AQ30" s="83"/>
      <c r="AR30" s="83"/>
      <c r="AS30" s="83"/>
      <c r="AT30" s="1"/>
      <c r="AU30" s="1"/>
      <c r="AV30" s="1"/>
      <c r="AW30" s="1"/>
      <c r="AX30" s="1"/>
      <c r="AY30" s="1"/>
      <c r="AZ30" s="1"/>
      <c r="BA30" s="1"/>
      <c r="BB30" s="1"/>
      <c r="BC30" s="1"/>
      <c r="BD30" s="1"/>
      <c r="BE30" s="1"/>
      <c r="BF30" s="1"/>
      <c r="BG30" s="1"/>
      <c r="BH30" s="1"/>
      <c r="BI30" s="1"/>
      <c r="BJ30" s="1"/>
      <c r="BK30" s="1"/>
      <c r="BL30" s="1"/>
      <c r="BM30" s="1"/>
      <c r="BN30" s="1"/>
      <c r="BO30" s="1"/>
    </row>
    <row r="31" spans="1:67" ht="9" customHeight="1" x14ac:dyDescent="0.35">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8"/>
      <c r="BM31" s="68"/>
      <c r="BN31" s="68"/>
      <c r="BO31" s="68"/>
    </row>
    <row r="32" spans="1:67" x14ac:dyDescent="0.35">
      <c r="A32" s="42" t="s">
        <v>49</v>
      </c>
      <c r="B32" s="42"/>
      <c r="C32" s="42"/>
      <c r="D32" s="42"/>
      <c r="E32" s="42"/>
      <c r="F32" s="42"/>
      <c r="G32" s="65" t="s">
        <v>50</v>
      </c>
      <c r="H32" s="65"/>
      <c r="I32" s="65"/>
      <c r="J32" s="65"/>
      <c r="K32" s="65"/>
      <c r="L32" s="65"/>
      <c r="M32" s="65"/>
      <c r="N32" s="65"/>
      <c r="O32" s="65"/>
      <c r="P32" s="65"/>
      <c r="Q32" s="65"/>
      <c r="R32" s="65"/>
      <c r="S32" s="87"/>
      <c r="T32" s="87"/>
      <c r="U32" s="87"/>
      <c r="V32" s="87"/>
      <c r="W32" s="42" t="s">
        <v>51</v>
      </c>
      <c r="X32" s="42"/>
      <c r="Y32" s="42"/>
      <c r="Z32" s="42"/>
      <c r="AA32" s="42"/>
      <c r="AB32" s="42"/>
      <c r="AC32" s="87"/>
      <c r="AD32" s="87"/>
      <c r="AE32" s="87"/>
      <c r="AF32" s="87"/>
      <c r="AG32" s="1"/>
      <c r="AH32" s="65" t="s">
        <v>32</v>
      </c>
      <c r="AI32" s="65"/>
      <c r="AJ32" s="65"/>
      <c r="AK32" s="65"/>
      <c r="AL32" s="66"/>
      <c r="AM32" s="66"/>
      <c r="AN32" s="66"/>
      <c r="AO32" s="66"/>
      <c r="AP32" s="66"/>
      <c r="AQ32" s="66"/>
      <c r="AR32" s="66"/>
      <c r="AS32" s="66"/>
      <c r="AT32" s="66"/>
      <c r="AU32" s="66"/>
      <c r="AV32" s="66"/>
      <c r="AW32" s="66"/>
      <c r="AX32" s="66"/>
      <c r="AY32" s="66"/>
      <c r="AZ32" s="66"/>
      <c r="BA32" s="66"/>
      <c r="BB32" s="66"/>
      <c r="BC32" s="66"/>
      <c r="BD32" s="66"/>
      <c r="BE32" s="66"/>
      <c r="BF32" s="67" t="s">
        <v>33</v>
      </c>
      <c r="BG32" s="67"/>
      <c r="BH32" s="67"/>
      <c r="BI32" s="67"/>
      <c r="BJ32" s="67"/>
      <c r="BK32" s="66"/>
      <c r="BL32" s="66"/>
      <c r="BM32" s="66"/>
      <c r="BN32" s="66"/>
      <c r="BO32" s="66"/>
    </row>
    <row r="33" spans="1:67" ht="3" customHeight="1" thickBot="1" x14ac:dyDescent="0.4">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row>
    <row r="34" spans="1:67" ht="11.25" customHeight="1" x14ac:dyDescent="0.35">
      <c r="A34" s="47" t="s">
        <v>39</v>
      </c>
      <c r="B34" s="48"/>
      <c r="C34" s="48"/>
      <c r="D34" s="48"/>
      <c r="E34" s="48"/>
      <c r="F34" s="48"/>
      <c r="G34" s="48"/>
      <c r="H34" s="49"/>
      <c r="I34" s="56" t="s">
        <v>3</v>
      </c>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8"/>
      <c r="AT34" s="84" t="s">
        <v>40</v>
      </c>
      <c r="AU34" s="48"/>
      <c r="AV34" s="48"/>
      <c r="AW34" s="48"/>
      <c r="AX34" s="49"/>
      <c r="AY34" s="48" t="s">
        <v>52</v>
      </c>
      <c r="AZ34" s="48"/>
      <c r="BA34" s="48"/>
      <c r="BB34" s="48"/>
      <c r="BC34" s="49"/>
      <c r="BD34" s="43" t="s">
        <v>53</v>
      </c>
      <c r="BE34" s="43"/>
      <c r="BF34" s="43"/>
      <c r="BG34" s="43"/>
      <c r="BH34" s="43"/>
      <c r="BI34" s="43" t="s">
        <v>41</v>
      </c>
      <c r="BJ34" s="43"/>
      <c r="BK34" s="43"/>
      <c r="BL34" s="43"/>
      <c r="BM34" s="43"/>
      <c r="BN34" s="43"/>
      <c r="BO34" s="45"/>
    </row>
    <row r="35" spans="1:67" ht="11.25" customHeight="1" x14ac:dyDescent="0.35">
      <c r="A35" s="50"/>
      <c r="B35" s="51"/>
      <c r="C35" s="51"/>
      <c r="D35" s="51"/>
      <c r="E35" s="51"/>
      <c r="F35" s="51"/>
      <c r="G35" s="51"/>
      <c r="H35" s="52"/>
      <c r="I35" s="59"/>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1"/>
      <c r="AT35" s="85"/>
      <c r="AU35" s="51"/>
      <c r="AV35" s="51"/>
      <c r="AW35" s="51"/>
      <c r="AX35" s="52"/>
      <c r="AY35" s="51"/>
      <c r="AZ35" s="51"/>
      <c r="BA35" s="51"/>
      <c r="BB35" s="51"/>
      <c r="BC35" s="52"/>
      <c r="BD35" s="44"/>
      <c r="BE35" s="44"/>
      <c r="BF35" s="44"/>
      <c r="BG35" s="44"/>
      <c r="BH35" s="44"/>
      <c r="BI35" s="44"/>
      <c r="BJ35" s="44"/>
      <c r="BK35" s="44"/>
      <c r="BL35" s="44"/>
      <c r="BM35" s="44"/>
      <c r="BN35" s="44"/>
      <c r="BO35" s="46"/>
    </row>
    <row r="36" spans="1:67" ht="11.25" customHeight="1" x14ac:dyDescent="0.35">
      <c r="A36" s="50"/>
      <c r="B36" s="51"/>
      <c r="C36" s="51"/>
      <c r="D36" s="51"/>
      <c r="E36" s="51"/>
      <c r="F36" s="51"/>
      <c r="G36" s="51"/>
      <c r="H36" s="52"/>
      <c r="I36" s="59"/>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1"/>
      <c r="AT36" s="85"/>
      <c r="AU36" s="51"/>
      <c r="AV36" s="51"/>
      <c r="AW36" s="51"/>
      <c r="AX36" s="52"/>
      <c r="AY36" s="51"/>
      <c r="AZ36" s="51"/>
      <c r="BA36" s="51"/>
      <c r="BB36" s="51"/>
      <c r="BC36" s="52"/>
      <c r="BD36" s="44"/>
      <c r="BE36" s="44"/>
      <c r="BF36" s="44"/>
      <c r="BG36" s="44"/>
      <c r="BH36" s="44"/>
      <c r="BI36" s="44"/>
      <c r="BJ36" s="44"/>
      <c r="BK36" s="44"/>
      <c r="BL36" s="44"/>
      <c r="BM36" s="44"/>
      <c r="BN36" s="44"/>
      <c r="BO36" s="46"/>
    </row>
    <row r="37" spans="1:67" ht="11.25" customHeight="1" x14ac:dyDescent="0.35">
      <c r="A37" s="53"/>
      <c r="B37" s="54"/>
      <c r="C37" s="54"/>
      <c r="D37" s="54"/>
      <c r="E37" s="54"/>
      <c r="F37" s="54"/>
      <c r="G37" s="54"/>
      <c r="H37" s="55"/>
      <c r="I37" s="62"/>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86"/>
      <c r="AU37" s="54"/>
      <c r="AV37" s="54"/>
      <c r="AW37" s="54"/>
      <c r="AX37" s="55"/>
      <c r="AY37" s="54"/>
      <c r="AZ37" s="54"/>
      <c r="BA37" s="54"/>
      <c r="BB37" s="54"/>
      <c r="BC37" s="55"/>
      <c r="BD37" s="44"/>
      <c r="BE37" s="44"/>
      <c r="BF37" s="44"/>
      <c r="BG37" s="44"/>
      <c r="BH37" s="44"/>
      <c r="BI37" s="44"/>
      <c r="BJ37" s="44"/>
      <c r="BK37" s="44"/>
      <c r="BL37" s="44"/>
      <c r="BM37" s="44"/>
      <c r="BN37" s="44"/>
      <c r="BO37" s="46"/>
    </row>
    <row r="38" spans="1:67" ht="20.25" customHeight="1" x14ac:dyDescent="0.35">
      <c r="A38" s="69"/>
      <c r="B38" s="70"/>
      <c r="C38" s="70"/>
      <c r="D38" s="70"/>
      <c r="E38" s="70"/>
      <c r="F38" s="70"/>
      <c r="G38" s="70"/>
      <c r="H38" s="71"/>
      <c r="I38" s="75"/>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7"/>
      <c r="AT38" s="72"/>
      <c r="AU38" s="72"/>
      <c r="AV38" s="72"/>
      <c r="AW38" s="72"/>
      <c r="AX38" s="72"/>
      <c r="AY38" s="72"/>
      <c r="AZ38" s="72"/>
      <c r="BA38" s="72"/>
      <c r="BB38" s="72"/>
      <c r="BC38" s="72"/>
      <c r="BD38" s="73" t="str">
        <f>IF(OR(AT38="",AY38=""),"",IF(ISERROR(ROUND(AVERAGE(AT38,AY38),0)),"",ROUND(AVERAGE(AT38,AY38),0)))</f>
        <v/>
      </c>
      <c r="BE38" s="73"/>
      <c r="BF38" s="73"/>
      <c r="BG38" s="73"/>
      <c r="BH38" s="73"/>
      <c r="BI38" s="73" t="str">
        <f>IF(OR(AT38="",AY38="",BD38=""),"",IF(BD38&gt;=75,"PASSED","FAILED"))</f>
        <v/>
      </c>
      <c r="BJ38" s="73"/>
      <c r="BK38" s="73"/>
      <c r="BL38" s="73"/>
      <c r="BM38" s="73"/>
      <c r="BN38" s="73"/>
      <c r="BO38" s="74"/>
    </row>
    <row r="39" spans="1:67" ht="20.25" customHeight="1" x14ac:dyDescent="0.35">
      <c r="A39" s="69"/>
      <c r="B39" s="70"/>
      <c r="C39" s="70"/>
      <c r="D39" s="70"/>
      <c r="E39" s="70"/>
      <c r="F39" s="70"/>
      <c r="G39" s="70"/>
      <c r="H39" s="71"/>
      <c r="I39" s="75"/>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7"/>
      <c r="AT39" s="72"/>
      <c r="AU39" s="72"/>
      <c r="AV39" s="72"/>
      <c r="AW39" s="72"/>
      <c r="AX39" s="72"/>
      <c r="AY39" s="72"/>
      <c r="AZ39" s="72"/>
      <c r="BA39" s="72"/>
      <c r="BB39" s="72"/>
      <c r="BC39" s="72"/>
      <c r="BD39" s="73" t="str">
        <f>IF(OR(AT39="",AY39=""),"",IF(ISERROR(ROUND(AVERAGE(AT39,AY39),0)),"",ROUND(AVERAGE(AT39,AY39),0)))</f>
        <v/>
      </c>
      <c r="BE39" s="73"/>
      <c r="BF39" s="73"/>
      <c r="BG39" s="73"/>
      <c r="BH39" s="73"/>
      <c r="BI39" s="73" t="str">
        <f>IF(OR(AT39="",AY39="",BD39=""),"",IF(BD39&gt;=75,"PASSED","FAILED"))</f>
        <v/>
      </c>
      <c r="BJ39" s="73"/>
      <c r="BK39" s="73"/>
      <c r="BL39" s="73"/>
      <c r="BM39" s="73"/>
      <c r="BN39" s="73"/>
      <c r="BO39" s="74"/>
    </row>
    <row r="40" spans="1:67" ht="20.25" customHeight="1" x14ac:dyDescent="0.35">
      <c r="A40" s="69"/>
      <c r="B40" s="70"/>
      <c r="C40" s="70"/>
      <c r="D40" s="70"/>
      <c r="E40" s="70"/>
      <c r="F40" s="70"/>
      <c r="G40" s="70"/>
      <c r="H40" s="71"/>
      <c r="I40" s="75"/>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7"/>
      <c r="AT40" s="72"/>
      <c r="AU40" s="72"/>
      <c r="AV40" s="72"/>
      <c r="AW40" s="72"/>
      <c r="AX40" s="72"/>
      <c r="AY40" s="72"/>
      <c r="AZ40" s="72"/>
      <c r="BA40" s="72"/>
      <c r="BB40" s="72"/>
      <c r="BC40" s="72"/>
      <c r="BD40" s="73" t="str">
        <f>IF(OR(AT40="",AY40=""),"",IF(ISERROR(ROUND(AVERAGE(AT40,AY40),0)),"",ROUND(AVERAGE(AT40,AY40),0)))</f>
        <v/>
      </c>
      <c r="BE40" s="73"/>
      <c r="BF40" s="73"/>
      <c r="BG40" s="73"/>
      <c r="BH40" s="73"/>
      <c r="BI40" s="73" t="str">
        <f>IF(OR(AT40="",AY40="",BD40=""),"",IF(BD40&gt;=75,"PASSED","FAILED"))</f>
        <v/>
      </c>
      <c r="BJ40" s="73"/>
      <c r="BK40" s="73"/>
      <c r="BL40" s="73"/>
      <c r="BM40" s="73"/>
      <c r="BN40" s="73"/>
      <c r="BO40" s="74"/>
    </row>
    <row r="41" spans="1:67" ht="20.25" customHeight="1" thickBot="1" x14ac:dyDescent="0.4">
      <c r="A41" s="115"/>
      <c r="B41" s="116"/>
      <c r="C41" s="116"/>
      <c r="D41" s="116"/>
      <c r="E41" s="116"/>
      <c r="F41" s="116"/>
      <c r="G41" s="116"/>
      <c r="H41" s="117"/>
      <c r="I41" s="101"/>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3"/>
      <c r="AT41" s="113"/>
      <c r="AU41" s="113"/>
      <c r="AV41" s="113"/>
      <c r="AW41" s="113"/>
      <c r="AX41" s="113"/>
      <c r="AY41" s="113"/>
      <c r="AZ41" s="113"/>
      <c r="BA41" s="113"/>
      <c r="BB41" s="113"/>
      <c r="BC41" s="113"/>
      <c r="BD41" s="114" t="str">
        <f>IF(OR(AT41="",AY41=""),"",IF(ISERROR(ROUND(AVERAGE(AT41,AY41),0)),"",ROUND(AVERAGE(AT41,AY41),0)))</f>
        <v/>
      </c>
      <c r="BE41" s="114"/>
      <c r="BF41" s="114"/>
      <c r="BG41" s="114"/>
      <c r="BH41" s="114"/>
      <c r="BI41" s="114" t="str">
        <f>IF(OR(AT41="",AY41="",BD41=""),"",IF(BD41&gt;=75,"PASSED","FAILED"))</f>
        <v/>
      </c>
      <c r="BJ41" s="114"/>
      <c r="BK41" s="114"/>
      <c r="BL41" s="114"/>
      <c r="BM41" s="114"/>
      <c r="BN41" s="114"/>
      <c r="BO41" s="121"/>
    </row>
    <row r="42" spans="1:67" ht="3" customHeight="1" x14ac:dyDescent="0.35">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row>
    <row r="43" spans="1:67" ht="22.5" customHeight="1" x14ac:dyDescent="0.35">
      <c r="A43" s="111" t="s">
        <v>54</v>
      </c>
      <c r="B43" s="111"/>
      <c r="C43" s="111"/>
      <c r="D43" s="111"/>
      <c r="E43" s="111"/>
      <c r="F43" s="111"/>
      <c r="G43" s="111"/>
      <c r="H43" s="111"/>
      <c r="I43" s="111"/>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7" t="s">
        <v>55</v>
      </c>
      <c r="AU43" s="107"/>
      <c r="AV43" s="107"/>
      <c r="AW43" s="107"/>
      <c r="AX43" s="107"/>
      <c r="AY43" s="130"/>
      <c r="AZ43" s="130"/>
      <c r="BA43" s="130"/>
      <c r="BB43" s="130"/>
      <c r="BC43" s="130"/>
      <c r="BD43" s="130"/>
      <c r="BE43" s="130"/>
      <c r="BF43" s="130"/>
      <c r="BG43" s="130"/>
      <c r="BH43" s="130"/>
      <c r="BI43" s="130"/>
      <c r="BJ43" s="130"/>
      <c r="BK43" s="130"/>
      <c r="BL43" s="130"/>
      <c r="BM43" s="130"/>
      <c r="BN43" s="130"/>
      <c r="BO43" s="130"/>
    </row>
    <row r="44" spans="1:67" ht="12" customHeight="1" x14ac:dyDescent="0.35">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row>
    <row r="45" spans="1:67" ht="12" customHeight="1" x14ac:dyDescent="0.3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68"/>
      <c r="BK45" s="68"/>
      <c r="BL45" s="68"/>
      <c r="BM45" s="68"/>
      <c r="BN45" s="68"/>
      <c r="BO45" s="68"/>
    </row>
    <row r="46" spans="1:67" x14ac:dyDescent="0.35">
      <c r="A46" s="67" t="s">
        <v>32</v>
      </c>
      <c r="B46" s="67"/>
      <c r="C46" s="67"/>
      <c r="D46" s="67"/>
      <c r="E46" s="100" t="str">
        <f>IFERROR(IF(VLOOKUP(BP5,#REF!,201,FALSE)="","",VLOOKUP(BP5,#REF!,201,FALSE)),"")</f>
        <v/>
      </c>
      <c r="F46" s="100"/>
      <c r="G46" s="100"/>
      <c r="H46" s="100"/>
      <c r="I46" s="100"/>
      <c r="J46" s="100"/>
      <c r="K46" s="100"/>
      <c r="L46" s="100"/>
      <c r="M46" s="100"/>
      <c r="N46" s="100"/>
      <c r="O46" s="100"/>
      <c r="P46" s="100"/>
      <c r="Q46" s="100"/>
      <c r="R46" s="100"/>
      <c r="S46" s="100"/>
      <c r="T46" s="100"/>
      <c r="U46" s="100"/>
      <c r="V46" s="100"/>
      <c r="W46" s="100"/>
      <c r="X46" s="100"/>
      <c r="Y46" s="100"/>
      <c r="Z46" s="100"/>
      <c r="AA46" s="100"/>
      <c r="AB46" s="65" t="s">
        <v>33</v>
      </c>
      <c r="AC46" s="65"/>
      <c r="AD46" s="65"/>
      <c r="AE46" s="65"/>
      <c r="AF46" s="100" t="str">
        <f>IFERROR(IF(VLOOKUP(BP5,#REF!,202,FALSE)="","",VLOOKUP(BP5,#REF!,202,FALSE)),"")</f>
        <v/>
      </c>
      <c r="AG46" s="100"/>
      <c r="AH46" s="100"/>
      <c r="AI46" s="100"/>
      <c r="AJ46" s="100"/>
      <c r="AK46" s="100"/>
      <c r="AL46" s="100"/>
      <c r="AM46" s="67" t="s">
        <v>34</v>
      </c>
      <c r="AN46" s="67"/>
      <c r="AO46" s="67"/>
      <c r="AP46" s="67"/>
      <c r="AQ46" s="67"/>
      <c r="AR46" s="67"/>
      <c r="AS46" s="100" t="str">
        <f>IFERROR(IF(VLOOKUP(BP5,#REF!,203,FALSE)="","",VLOOKUP(BP5,#REF!,203,FALSE)),"")</f>
        <v/>
      </c>
      <c r="AT46" s="100"/>
      <c r="AU46" s="100"/>
      <c r="AV46" s="100"/>
      <c r="AW46" s="100"/>
      <c r="AX46" s="100"/>
      <c r="AY46" s="67" t="s">
        <v>35</v>
      </c>
      <c r="AZ46" s="67"/>
      <c r="BA46" s="100" t="str">
        <f>IFERROR(IF(VLOOKUP(BP5,#REF!,204,FALSE)="","",VLOOKUP(BP5,#REF!,204,FALSE)),"")</f>
        <v/>
      </c>
      <c r="BB46" s="100"/>
      <c r="BC46" s="100"/>
      <c r="BD46" s="100"/>
      <c r="BE46" s="100"/>
      <c r="BF46" s="100"/>
      <c r="BG46" s="100"/>
      <c r="BH46" s="65" t="s">
        <v>36</v>
      </c>
      <c r="BI46" s="65"/>
      <c r="BJ46" s="65"/>
      <c r="BK46" s="100" t="str">
        <f>IFERROR(IF(VLOOKUP(BP5,#REF!,207,FALSE)="","",VLOOKUP(BP5,#REF!,207,FALSE)),"")</f>
        <v/>
      </c>
      <c r="BL46" s="100"/>
      <c r="BM46" s="100"/>
      <c r="BN46" s="100"/>
      <c r="BO46" s="100"/>
    </row>
    <row r="47" spans="1:67" ht="3" customHeight="1" x14ac:dyDescent="0.35">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5">
      <c r="A48" s="67" t="s">
        <v>37</v>
      </c>
      <c r="B48" s="67"/>
      <c r="C48" s="67"/>
      <c r="D48" s="67"/>
      <c r="E48" s="67"/>
      <c r="F48" s="67"/>
      <c r="G48" s="100" t="str">
        <f>IFERROR(IF(VLOOKUP(BP5,#REF!,205,FALSE)="","",VLOOKUP(BP5,#REF!,205,FALSE)),"")</f>
        <v/>
      </c>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65" t="s">
        <v>38</v>
      </c>
      <c r="AO48" s="65"/>
      <c r="AP48" s="65"/>
      <c r="AQ48" s="65"/>
      <c r="AR48" s="65"/>
      <c r="AS48" s="100" t="str">
        <f>IFERROR(IF(VLOOKUP(BP5,#REF!,206,FALSE)="","",VLOOKUP(BP5,#REF!,206,FALSE)),"")</f>
        <v/>
      </c>
      <c r="AT48" s="100"/>
      <c r="AU48" s="100"/>
      <c r="AV48" s="100"/>
      <c r="AW48" s="100"/>
      <c r="AX48" s="100"/>
      <c r="AY48" s="100"/>
      <c r="AZ48" s="100"/>
      <c r="BA48" s="100"/>
      <c r="BB48" s="100"/>
      <c r="BC48" s="100"/>
      <c r="BD48" s="100"/>
      <c r="BE48" s="100"/>
      <c r="BF48" s="100"/>
      <c r="BG48" s="100"/>
      <c r="BH48" s="100"/>
      <c r="BI48" s="100"/>
      <c r="BJ48" s="100"/>
      <c r="BK48" s="100"/>
      <c r="BL48" s="100"/>
      <c r="BM48" s="100"/>
      <c r="BN48" s="100"/>
      <c r="BO48" s="100"/>
    </row>
    <row r="49" spans="1:67" ht="3" customHeight="1" thickBot="1" x14ac:dyDescent="0.4">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row>
    <row r="50" spans="1:67" ht="11.25" customHeight="1" x14ac:dyDescent="0.35">
      <c r="A50" s="50" t="s">
        <v>39</v>
      </c>
      <c r="B50" s="51"/>
      <c r="C50" s="51"/>
      <c r="D50" s="51"/>
      <c r="E50" s="51"/>
      <c r="F50" s="51"/>
      <c r="G50" s="51"/>
      <c r="H50" s="52"/>
      <c r="I50" s="59" t="s">
        <v>3</v>
      </c>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1"/>
      <c r="AT50" s="112" t="s">
        <v>4</v>
      </c>
      <c r="AU50" s="112"/>
      <c r="AV50" s="112"/>
      <c r="AW50" s="112"/>
      <c r="AX50" s="112"/>
      <c r="AY50" s="112"/>
      <c r="AZ50" s="112"/>
      <c r="BA50" s="112"/>
      <c r="BB50" s="112"/>
      <c r="BC50" s="112"/>
      <c r="BD50" s="135" t="s">
        <v>40</v>
      </c>
      <c r="BE50" s="135"/>
      <c r="BF50" s="135"/>
      <c r="BG50" s="135"/>
      <c r="BH50" s="135"/>
      <c r="BI50" s="135" t="s">
        <v>41</v>
      </c>
      <c r="BJ50" s="135"/>
      <c r="BK50" s="135"/>
      <c r="BL50" s="135"/>
      <c r="BM50" s="135"/>
      <c r="BN50" s="135"/>
      <c r="BO50" s="136"/>
    </row>
    <row r="51" spans="1:67" ht="11.25" customHeight="1" x14ac:dyDescent="0.35">
      <c r="A51" s="50"/>
      <c r="B51" s="51"/>
      <c r="C51" s="51"/>
      <c r="D51" s="51"/>
      <c r="E51" s="51"/>
      <c r="F51" s="51"/>
      <c r="G51" s="51"/>
      <c r="H51" s="52"/>
      <c r="I51" s="59"/>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1"/>
      <c r="AT51" s="109"/>
      <c r="AU51" s="109"/>
      <c r="AV51" s="109"/>
      <c r="AW51" s="109"/>
      <c r="AX51" s="109"/>
      <c r="AY51" s="109"/>
      <c r="AZ51" s="109"/>
      <c r="BA51" s="109"/>
      <c r="BB51" s="109"/>
      <c r="BC51" s="109"/>
      <c r="BD51" s="44"/>
      <c r="BE51" s="44"/>
      <c r="BF51" s="44"/>
      <c r="BG51" s="44"/>
      <c r="BH51" s="44"/>
      <c r="BI51" s="44"/>
      <c r="BJ51" s="44"/>
      <c r="BK51" s="44"/>
      <c r="BL51" s="44"/>
      <c r="BM51" s="44"/>
      <c r="BN51" s="44"/>
      <c r="BO51" s="46"/>
    </row>
    <row r="52" spans="1:67" ht="11.25" customHeight="1" x14ac:dyDescent="0.35">
      <c r="A52" s="50"/>
      <c r="B52" s="51"/>
      <c r="C52" s="51"/>
      <c r="D52" s="51"/>
      <c r="E52" s="51"/>
      <c r="F52" s="51"/>
      <c r="G52" s="51"/>
      <c r="H52" s="52"/>
      <c r="I52" s="59"/>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1"/>
      <c r="AT52" s="109" t="str">
        <f>IF(BK46="","",IF(BK46="1ST","1ST",IF(BK46="2ND","3RD")))</f>
        <v/>
      </c>
      <c r="AU52" s="109"/>
      <c r="AV52" s="109"/>
      <c r="AW52" s="109"/>
      <c r="AX52" s="109"/>
      <c r="AY52" s="109" t="str">
        <f>IF(BK46="","",IF(BK46="1ST","2ND",IF(BK46="2ND","4TH")))</f>
        <v/>
      </c>
      <c r="AZ52" s="109"/>
      <c r="BA52" s="109"/>
      <c r="BB52" s="109"/>
      <c r="BC52" s="109"/>
      <c r="BD52" s="44"/>
      <c r="BE52" s="44"/>
      <c r="BF52" s="44"/>
      <c r="BG52" s="44"/>
      <c r="BH52" s="44"/>
      <c r="BI52" s="44"/>
      <c r="BJ52" s="44"/>
      <c r="BK52" s="44"/>
      <c r="BL52" s="44"/>
      <c r="BM52" s="44"/>
      <c r="BN52" s="44"/>
      <c r="BO52" s="46"/>
    </row>
    <row r="53" spans="1:67" ht="11.25" customHeight="1" x14ac:dyDescent="0.35">
      <c r="A53" s="53"/>
      <c r="B53" s="54"/>
      <c r="C53" s="54"/>
      <c r="D53" s="54"/>
      <c r="E53" s="54"/>
      <c r="F53" s="54"/>
      <c r="G53" s="54"/>
      <c r="H53" s="55"/>
      <c r="I53" s="62"/>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4"/>
      <c r="AT53" s="109"/>
      <c r="AU53" s="109"/>
      <c r="AV53" s="109"/>
      <c r="AW53" s="109"/>
      <c r="AX53" s="109"/>
      <c r="AY53" s="109"/>
      <c r="AZ53" s="109"/>
      <c r="BA53" s="109"/>
      <c r="BB53" s="109"/>
      <c r="BC53" s="109"/>
      <c r="BD53" s="44"/>
      <c r="BE53" s="44"/>
      <c r="BF53" s="44"/>
      <c r="BG53" s="44"/>
      <c r="BH53" s="44"/>
      <c r="BI53" s="44"/>
      <c r="BJ53" s="44"/>
      <c r="BK53" s="44"/>
      <c r="BL53" s="44"/>
      <c r="BM53" s="44"/>
      <c r="BN53" s="44"/>
      <c r="BO53" s="46"/>
    </row>
    <row r="54" spans="1:67" ht="20.25" customHeight="1" x14ac:dyDescent="0.35">
      <c r="A54" s="69" t="str">
        <f>IFERROR(VLOOKUP(I54,#REF!,2,FALSE),"")</f>
        <v/>
      </c>
      <c r="B54" s="70"/>
      <c r="C54" s="70"/>
      <c r="D54" s="70"/>
      <c r="E54" s="70"/>
      <c r="F54" s="70"/>
      <c r="G54" s="70"/>
      <c r="H54" s="71"/>
      <c r="I54" s="75" t="str">
        <f>IFERROR(IF(VLOOKUP(BP5,#REF!,208,FALSE)="","",VLOOKUP(BP5,#REF!,208,FALSE)),"")</f>
        <v/>
      </c>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7"/>
      <c r="AT54" s="95" t="str">
        <f>IFERROR(IF(VLOOKUP(BP5,#REF!,209,FALSE)="","",VLOOKUP(BP5,#REF!,209,FALSE)),"")</f>
        <v/>
      </c>
      <c r="AU54" s="70"/>
      <c r="AV54" s="70"/>
      <c r="AW54" s="70"/>
      <c r="AX54" s="71"/>
      <c r="AY54" s="95" t="str">
        <f>IFERROR(IF(VLOOKUP(BP5,#REF!,210,FALSE)="","",VLOOKUP(BP5,#REF!,210,FALSE)),"")</f>
        <v/>
      </c>
      <c r="AZ54" s="70"/>
      <c r="BA54" s="70"/>
      <c r="BB54" s="70"/>
      <c r="BC54" s="71"/>
      <c r="BD54" s="73" t="str">
        <f>IF(OR(AT54="",AY54=""),"",IF(ISERROR(ROUND(AVERAGE(AT54,AY54),0)),"",ROUND(AVERAGE(AT54,AY54),0)))</f>
        <v/>
      </c>
      <c r="BE54" s="73"/>
      <c r="BF54" s="73"/>
      <c r="BG54" s="73"/>
      <c r="BH54" s="73"/>
      <c r="BI54" s="73" t="str">
        <f>IF(OR(AT54="",AY54="",BD54=""),"",IF(BD54&gt;=75,"PASSED","FAILED"))</f>
        <v/>
      </c>
      <c r="BJ54" s="73"/>
      <c r="BK54" s="73"/>
      <c r="BL54" s="73"/>
      <c r="BM54" s="73"/>
      <c r="BN54" s="73"/>
      <c r="BO54" s="74"/>
    </row>
    <row r="55" spans="1:67" ht="20.25" customHeight="1" x14ac:dyDescent="0.35">
      <c r="A55" s="69" t="str">
        <f>IFERROR(VLOOKUP(I55,#REF!,2,FALSE),"")</f>
        <v/>
      </c>
      <c r="B55" s="70"/>
      <c r="C55" s="70"/>
      <c r="D55" s="70"/>
      <c r="E55" s="70"/>
      <c r="F55" s="70"/>
      <c r="G55" s="70"/>
      <c r="H55" s="71"/>
      <c r="I55" s="75" t="str">
        <f>IFERROR(IF(VLOOKUP(BP5,#REF!,212,FALSE)="","",VLOOKUP(BP5,#REF!,212,FALSE)),"")</f>
        <v/>
      </c>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7"/>
      <c r="AT55" s="95" t="str">
        <f>IFERROR(IF(VLOOKUP(BP5,#REF!,213,FALSE)="","",VLOOKUP(BP5,#REF!,213,FALSE)),"")</f>
        <v/>
      </c>
      <c r="AU55" s="70"/>
      <c r="AV55" s="70"/>
      <c r="AW55" s="70"/>
      <c r="AX55" s="71"/>
      <c r="AY55" s="95" t="str">
        <f>IFERROR(IF(VLOOKUP(BP5,#REF!,214,FALSE)="","",VLOOKUP(BP5,#REF!,214,FALSE)),"")</f>
        <v/>
      </c>
      <c r="AZ55" s="70"/>
      <c r="BA55" s="70"/>
      <c r="BB55" s="70"/>
      <c r="BC55" s="71"/>
      <c r="BD55" s="92" t="str">
        <f t="shared" ref="BD55:BD65" si="2">IF(OR(AT55="",AY55=""),"",IF(ISERROR(ROUND(AVERAGE(AT55,AY55),0)),"",ROUND(AVERAGE(AT55,AY55),0)))</f>
        <v/>
      </c>
      <c r="BE55" s="93"/>
      <c r="BF55" s="93"/>
      <c r="BG55" s="93"/>
      <c r="BH55" s="94"/>
      <c r="BI55" s="92" t="str">
        <f t="shared" ref="BI55:BI65" si="3">IF(OR(AT55="",AY55="",BD55=""),"",IF(BD55&gt;=75,"PASSED","FAILED"))</f>
        <v/>
      </c>
      <c r="BJ55" s="93"/>
      <c r="BK55" s="93"/>
      <c r="BL55" s="93"/>
      <c r="BM55" s="93"/>
      <c r="BN55" s="93"/>
      <c r="BO55" s="123"/>
    </row>
    <row r="56" spans="1:67" ht="20.25" customHeight="1" x14ac:dyDescent="0.35">
      <c r="A56" s="69" t="str">
        <f>IFERROR(VLOOKUP(I56,#REF!,2,FALSE),"")</f>
        <v/>
      </c>
      <c r="B56" s="70"/>
      <c r="C56" s="70"/>
      <c r="D56" s="70"/>
      <c r="E56" s="70"/>
      <c r="F56" s="70"/>
      <c r="G56" s="70"/>
      <c r="H56" s="71"/>
      <c r="I56" s="75" t="str">
        <f>IFERROR(IF(VLOOKUP(BP5,#REF!,216,FALSE)="","",VLOOKUP(BP5,#REF!,216,FALSE)),"")</f>
        <v/>
      </c>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7"/>
      <c r="AT56" s="95" t="str">
        <f>IFERROR(IF(VLOOKUP(BP5,#REF!,217,FALSE)="","",VLOOKUP(BP5,#REF!,217,FALSE)),"")</f>
        <v/>
      </c>
      <c r="AU56" s="70"/>
      <c r="AV56" s="70"/>
      <c r="AW56" s="70"/>
      <c r="AX56" s="71"/>
      <c r="AY56" s="95" t="str">
        <f>IFERROR(IF(VLOOKUP(BP5,#REF!,218,FALSE)="","",VLOOKUP(BP5,#REF!,218,FALSE)),"")</f>
        <v/>
      </c>
      <c r="AZ56" s="70"/>
      <c r="BA56" s="70"/>
      <c r="BB56" s="70"/>
      <c r="BC56" s="71"/>
      <c r="BD56" s="92" t="str">
        <f t="shared" si="2"/>
        <v/>
      </c>
      <c r="BE56" s="93"/>
      <c r="BF56" s="93"/>
      <c r="BG56" s="93"/>
      <c r="BH56" s="94"/>
      <c r="BI56" s="92" t="str">
        <f t="shared" si="3"/>
        <v/>
      </c>
      <c r="BJ56" s="93"/>
      <c r="BK56" s="93"/>
      <c r="BL56" s="93"/>
      <c r="BM56" s="93"/>
      <c r="BN56" s="93"/>
      <c r="BO56" s="123"/>
    </row>
    <row r="57" spans="1:67" ht="20.25" customHeight="1" x14ac:dyDescent="0.35">
      <c r="A57" s="69" t="str">
        <f>IFERROR(VLOOKUP(I57,#REF!,2,FALSE),"")</f>
        <v/>
      </c>
      <c r="B57" s="70"/>
      <c r="C57" s="70"/>
      <c r="D57" s="70"/>
      <c r="E57" s="70"/>
      <c r="F57" s="70"/>
      <c r="G57" s="70"/>
      <c r="H57" s="71"/>
      <c r="I57" s="75" t="str">
        <f>IFERROR(IF(VLOOKUP(BP5,#REF!,220,FALSE)="","",VLOOKUP(BP5,#REF!,220,FALSE)),"")</f>
        <v/>
      </c>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7"/>
      <c r="AT57" s="95" t="str">
        <f>IFERROR(IF(VLOOKUP(BP5,#REF!,221,FALSE)="","",VLOOKUP(BP5,#REF!,221,FALSE)),"")</f>
        <v/>
      </c>
      <c r="AU57" s="70"/>
      <c r="AV57" s="70"/>
      <c r="AW57" s="70"/>
      <c r="AX57" s="71"/>
      <c r="AY57" s="95" t="str">
        <f>IFERROR(IF(VLOOKUP(BP5,#REF!,222,FALSE)="","",VLOOKUP(BP5,#REF!,222,FALSE)),"")</f>
        <v/>
      </c>
      <c r="AZ57" s="70"/>
      <c r="BA57" s="70"/>
      <c r="BB57" s="70"/>
      <c r="BC57" s="71"/>
      <c r="BD57" s="92" t="str">
        <f t="shared" si="2"/>
        <v/>
      </c>
      <c r="BE57" s="93"/>
      <c r="BF57" s="93"/>
      <c r="BG57" s="93"/>
      <c r="BH57" s="94"/>
      <c r="BI57" s="92" t="str">
        <f t="shared" si="3"/>
        <v/>
      </c>
      <c r="BJ57" s="93"/>
      <c r="BK57" s="93"/>
      <c r="BL57" s="93"/>
      <c r="BM57" s="93"/>
      <c r="BN57" s="93"/>
      <c r="BO57" s="123"/>
    </row>
    <row r="58" spans="1:67" ht="20.25" customHeight="1" x14ac:dyDescent="0.35">
      <c r="A58" s="69" t="str">
        <f>IFERROR(VLOOKUP(I58,#REF!,2,FALSE),"")</f>
        <v/>
      </c>
      <c r="B58" s="70"/>
      <c r="C58" s="70"/>
      <c r="D58" s="70"/>
      <c r="E58" s="70"/>
      <c r="F58" s="70"/>
      <c r="G58" s="70"/>
      <c r="H58" s="71"/>
      <c r="I58" s="75" t="str">
        <f>IFERROR(IF(VLOOKUP(BP5,#REF!,224,FALSE)="","",VLOOKUP(BP5,#REF!,224,FALSE)),"")</f>
        <v/>
      </c>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7"/>
      <c r="AT58" s="95" t="str">
        <f>IFERROR(IF(VLOOKUP(BP5,#REF!,225,FALSE)="","",VLOOKUP(BP5,#REF!,225,FALSE)),"")</f>
        <v/>
      </c>
      <c r="AU58" s="70"/>
      <c r="AV58" s="70"/>
      <c r="AW58" s="70"/>
      <c r="AX58" s="71"/>
      <c r="AY58" s="95" t="str">
        <f>IFERROR(IF(VLOOKUP(BP5,#REF!,226,FALSE)="","",VLOOKUP(BP5,#REF!,226,FALSE)),"")</f>
        <v/>
      </c>
      <c r="AZ58" s="70"/>
      <c r="BA58" s="70"/>
      <c r="BB58" s="70"/>
      <c r="BC58" s="71"/>
      <c r="BD58" s="92" t="str">
        <f t="shared" si="2"/>
        <v/>
      </c>
      <c r="BE58" s="93"/>
      <c r="BF58" s="93"/>
      <c r="BG58" s="93"/>
      <c r="BH58" s="94"/>
      <c r="BI58" s="92" t="str">
        <f t="shared" si="3"/>
        <v/>
      </c>
      <c r="BJ58" s="93"/>
      <c r="BK58" s="93"/>
      <c r="BL58" s="93"/>
      <c r="BM58" s="93"/>
      <c r="BN58" s="93"/>
      <c r="BO58" s="123"/>
    </row>
    <row r="59" spans="1:67" ht="20.25" customHeight="1" x14ac:dyDescent="0.35">
      <c r="A59" s="69" t="str">
        <f>IFERROR(VLOOKUP(I59,#REF!,2,FALSE),"")</f>
        <v/>
      </c>
      <c r="B59" s="70"/>
      <c r="C59" s="70"/>
      <c r="D59" s="70"/>
      <c r="E59" s="70"/>
      <c r="F59" s="70"/>
      <c r="G59" s="70"/>
      <c r="H59" s="71"/>
      <c r="I59" s="75" t="str">
        <f>IFERROR(IF(VLOOKUP(BP5,#REF!,228,FALSE)="","",VLOOKUP(BP5,#REF!,228,FALSE)),"")</f>
        <v/>
      </c>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7"/>
      <c r="AT59" s="95" t="str">
        <f>IFERROR(IF(VLOOKUP(BP5,#REF!,229,FALSE)="","",VLOOKUP(BP5,#REF!,229,FALSE)),"")</f>
        <v/>
      </c>
      <c r="AU59" s="70"/>
      <c r="AV59" s="70"/>
      <c r="AW59" s="70"/>
      <c r="AX59" s="71"/>
      <c r="AY59" s="95" t="str">
        <f>IFERROR(IF(VLOOKUP(BP5,#REF!,230,FALSE)="","",VLOOKUP(BP5,#REF!,230,FALSE)),"")</f>
        <v/>
      </c>
      <c r="AZ59" s="70"/>
      <c r="BA59" s="70"/>
      <c r="BB59" s="70"/>
      <c r="BC59" s="71"/>
      <c r="BD59" s="92" t="str">
        <f t="shared" si="2"/>
        <v/>
      </c>
      <c r="BE59" s="93"/>
      <c r="BF59" s="93"/>
      <c r="BG59" s="93"/>
      <c r="BH59" s="94"/>
      <c r="BI59" s="92" t="str">
        <f t="shared" si="3"/>
        <v/>
      </c>
      <c r="BJ59" s="93"/>
      <c r="BK59" s="93"/>
      <c r="BL59" s="93"/>
      <c r="BM59" s="93"/>
      <c r="BN59" s="93"/>
      <c r="BO59" s="123"/>
    </row>
    <row r="60" spans="1:67" ht="20.25" customHeight="1" x14ac:dyDescent="0.35">
      <c r="A60" s="69" t="str">
        <f>IFERROR(VLOOKUP(I60,#REF!,2,FALSE),"")</f>
        <v/>
      </c>
      <c r="B60" s="70"/>
      <c r="C60" s="70"/>
      <c r="D60" s="70"/>
      <c r="E60" s="70"/>
      <c r="F60" s="70"/>
      <c r="G60" s="70"/>
      <c r="H60" s="71"/>
      <c r="I60" s="75" t="str">
        <f>IFERROR(IF(VLOOKUP(BP5,#REF!,232,FALSE)="","",VLOOKUP(BP5,#REF!,232,FALSE)),"")</f>
        <v/>
      </c>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7"/>
      <c r="AT60" s="95" t="str">
        <f>IFERROR(IF(VLOOKUP(BP5,#REF!,233,FALSE)="","",VLOOKUP(BP5,#REF!,233,FALSE)),"")</f>
        <v/>
      </c>
      <c r="AU60" s="70"/>
      <c r="AV60" s="70"/>
      <c r="AW60" s="70"/>
      <c r="AX60" s="71"/>
      <c r="AY60" s="95" t="str">
        <f>IFERROR(IF(VLOOKUP(BP5,#REF!,234,FALSE)="","",VLOOKUP(BP5,#REF!,234,FALSE)),"")</f>
        <v/>
      </c>
      <c r="AZ60" s="70"/>
      <c r="BA60" s="70"/>
      <c r="BB60" s="70"/>
      <c r="BC60" s="71"/>
      <c r="BD60" s="92" t="str">
        <f t="shared" si="2"/>
        <v/>
      </c>
      <c r="BE60" s="93"/>
      <c r="BF60" s="93"/>
      <c r="BG60" s="93"/>
      <c r="BH60" s="94"/>
      <c r="BI60" s="92" t="str">
        <f t="shared" si="3"/>
        <v/>
      </c>
      <c r="BJ60" s="93"/>
      <c r="BK60" s="93"/>
      <c r="BL60" s="93"/>
      <c r="BM60" s="93"/>
      <c r="BN60" s="93"/>
      <c r="BO60" s="123"/>
    </row>
    <row r="61" spans="1:67" ht="20.25" customHeight="1" x14ac:dyDescent="0.35">
      <c r="A61" s="69" t="str">
        <f>IFERROR(VLOOKUP(I61,#REF!,2,FALSE),"")</f>
        <v/>
      </c>
      <c r="B61" s="70"/>
      <c r="C61" s="70"/>
      <c r="D61" s="70"/>
      <c r="E61" s="70"/>
      <c r="F61" s="70"/>
      <c r="G61" s="70"/>
      <c r="H61" s="71"/>
      <c r="I61" s="75" t="str">
        <f>IFERROR(IF(VLOOKUP(BP5,#REF!,236,FALSE)="","",VLOOKUP(BP5,#REF!,236,FALSE)),"")</f>
        <v/>
      </c>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7"/>
      <c r="AT61" s="95" t="str">
        <f>IFERROR(IF(VLOOKUP(BP5,#REF!,237,FALSE)="","",VLOOKUP(BP5,#REF!,237,FALSE)),"")</f>
        <v/>
      </c>
      <c r="AU61" s="70"/>
      <c r="AV61" s="70"/>
      <c r="AW61" s="70"/>
      <c r="AX61" s="71"/>
      <c r="AY61" s="95" t="str">
        <f>IFERROR(IF(VLOOKUP(BP5,#REF!,238,FALSE)="","",VLOOKUP(BP5,#REF!,238,FALSE)),"")</f>
        <v/>
      </c>
      <c r="AZ61" s="70"/>
      <c r="BA61" s="70"/>
      <c r="BB61" s="70"/>
      <c r="BC61" s="71"/>
      <c r="BD61" s="92" t="str">
        <f t="shared" si="2"/>
        <v/>
      </c>
      <c r="BE61" s="93"/>
      <c r="BF61" s="93"/>
      <c r="BG61" s="93"/>
      <c r="BH61" s="94"/>
      <c r="BI61" s="92" t="str">
        <f t="shared" si="3"/>
        <v/>
      </c>
      <c r="BJ61" s="93"/>
      <c r="BK61" s="93"/>
      <c r="BL61" s="93"/>
      <c r="BM61" s="93"/>
      <c r="BN61" s="93"/>
      <c r="BO61" s="123"/>
    </row>
    <row r="62" spans="1:67" ht="20.25" customHeight="1" x14ac:dyDescent="0.35">
      <c r="A62" s="69" t="str">
        <f>IFERROR(VLOOKUP(I62,#REF!,2,FALSE),"")</f>
        <v/>
      </c>
      <c r="B62" s="70"/>
      <c r="C62" s="70"/>
      <c r="D62" s="70"/>
      <c r="E62" s="70"/>
      <c r="F62" s="70"/>
      <c r="G62" s="70"/>
      <c r="H62" s="71"/>
      <c r="I62" s="75" t="str">
        <f>IFERROR(IF(VLOOKUP(BP5,#REF!,240,FALSE)="","",VLOOKUP(BP5,#REF!,240,FALSE)),"")</f>
        <v/>
      </c>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7"/>
      <c r="AT62" s="95" t="str">
        <f>IFERROR(IF(VLOOKUP(BP5,#REF!,241,FALSE)="","",VLOOKUP(BP5,#REF!,241,FALSE)),"")</f>
        <v/>
      </c>
      <c r="AU62" s="70"/>
      <c r="AV62" s="70"/>
      <c r="AW62" s="70"/>
      <c r="AX62" s="71"/>
      <c r="AY62" s="95" t="str">
        <f>IFERROR(IF(VLOOKUP(BP5,#REF!,242,FALSE)="","",VLOOKUP(BP5,#REF!,242,FALSE)),"")</f>
        <v/>
      </c>
      <c r="AZ62" s="70"/>
      <c r="BA62" s="70"/>
      <c r="BB62" s="70"/>
      <c r="BC62" s="71"/>
      <c r="BD62" s="92" t="str">
        <f t="shared" si="2"/>
        <v/>
      </c>
      <c r="BE62" s="93"/>
      <c r="BF62" s="93"/>
      <c r="BG62" s="93"/>
      <c r="BH62" s="94"/>
      <c r="BI62" s="92" t="str">
        <f t="shared" si="3"/>
        <v/>
      </c>
      <c r="BJ62" s="93"/>
      <c r="BK62" s="93"/>
      <c r="BL62" s="93"/>
      <c r="BM62" s="93"/>
      <c r="BN62" s="93"/>
      <c r="BO62" s="123"/>
    </row>
    <row r="63" spans="1:67" ht="20.25" customHeight="1" x14ac:dyDescent="0.35">
      <c r="A63" s="69" t="str">
        <f>IFERROR(VLOOKUP(I63,#REF!,2,FALSE),"")</f>
        <v/>
      </c>
      <c r="B63" s="70"/>
      <c r="C63" s="70"/>
      <c r="D63" s="70"/>
      <c r="E63" s="70"/>
      <c r="F63" s="70"/>
      <c r="G63" s="70"/>
      <c r="H63" s="71"/>
      <c r="I63" s="75" t="str">
        <f>IFERROR(IF(VLOOKUP(BP5,#REF!,244,FALSE)="","",VLOOKUP(BP5,#REF!,244,FALSE)),"")</f>
        <v/>
      </c>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7"/>
      <c r="AT63" s="95" t="str">
        <f>IFERROR(IF(VLOOKUP(BP5,#REF!,245,FALSE)="","",VLOOKUP(BP5,#REF!,245,FALSE)),"")</f>
        <v/>
      </c>
      <c r="AU63" s="70"/>
      <c r="AV63" s="70"/>
      <c r="AW63" s="70"/>
      <c r="AX63" s="71"/>
      <c r="AY63" s="95" t="str">
        <f>IFERROR(IF(VLOOKUP(BP5,#REF!,246,FALSE)="","",VLOOKUP(BP5,#REF!,246,FALSE)),"")</f>
        <v/>
      </c>
      <c r="AZ63" s="70"/>
      <c r="BA63" s="70"/>
      <c r="BB63" s="70"/>
      <c r="BC63" s="71"/>
      <c r="BD63" s="92" t="str">
        <f t="shared" si="2"/>
        <v/>
      </c>
      <c r="BE63" s="93"/>
      <c r="BF63" s="93"/>
      <c r="BG63" s="93"/>
      <c r="BH63" s="94"/>
      <c r="BI63" s="92" t="str">
        <f t="shared" si="3"/>
        <v/>
      </c>
      <c r="BJ63" s="93"/>
      <c r="BK63" s="93"/>
      <c r="BL63" s="93"/>
      <c r="BM63" s="93"/>
      <c r="BN63" s="93"/>
      <c r="BO63" s="123"/>
    </row>
    <row r="64" spans="1:67" ht="20.25" customHeight="1" x14ac:dyDescent="0.35">
      <c r="A64" s="69" t="str">
        <f>IFERROR(VLOOKUP(I64,#REF!,2,FALSE),"")</f>
        <v/>
      </c>
      <c r="B64" s="70"/>
      <c r="C64" s="70"/>
      <c r="D64" s="70"/>
      <c r="E64" s="70"/>
      <c r="F64" s="70"/>
      <c r="G64" s="70"/>
      <c r="H64" s="71"/>
      <c r="I64" s="75" t="str">
        <f>IFERROR(IF(VLOOKUP(BP5,#REF!,248,FALSE)="","",VLOOKUP(BP5,#REF!,248,FALSE)),"")</f>
        <v/>
      </c>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7"/>
      <c r="AT64" s="95" t="str">
        <f>IFERROR(IF(VLOOKUP(BP5,#REF!,249,FALSE)="","",VLOOKUP(BP5,#REF!,249,FALSE)),"")</f>
        <v/>
      </c>
      <c r="AU64" s="70"/>
      <c r="AV64" s="70"/>
      <c r="AW64" s="70"/>
      <c r="AX64" s="71"/>
      <c r="AY64" s="95" t="str">
        <f>IFERROR(IF(VLOOKUP(BP5,#REF!,250,FALSE)="","",VLOOKUP(BP5,#REF!,250,FALSE)),"")</f>
        <v/>
      </c>
      <c r="AZ64" s="70"/>
      <c r="BA64" s="70"/>
      <c r="BB64" s="70"/>
      <c r="BC64" s="71"/>
      <c r="BD64" s="92" t="str">
        <f t="shared" si="2"/>
        <v/>
      </c>
      <c r="BE64" s="93"/>
      <c r="BF64" s="93"/>
      <c r="BG64" s="93"/>
      <c r="BH64" s="94"/>
      <c r="BI64" s="92" t="str">
        <f t="shared" si="3"/>
        <v/>
      </c>
      <c r="BJ64" s="93"/>
      <c r="BK64" s="93"/>
      <c r="BL64" s="93"/>
      <c r="BM64" s="93"/>
      <c r="BN64" s="93"/>
      <c r="BO64" s="123"/>
    </row>
    <row r="65" spans="1:67" ht="20.25" customHeight="1" x14ac:dyDescent="0.35">
      <c r="A65" s="69" t="str">
        <f>IFERROR(VLOOKUP(I65,#REF!,2,FALSE),"")</f>
        <v/>
      </c>
      <c r="B65" s="70"/>
      <c r="C65" s="70"/>
      <c r="D65" s="70"/>
      <c r="E65" s="70"/>
      <c r="F65" s="70"/>
      <c r="G65" s="70"/>
      <c r="H65" s="71"/>
      <c r="I65" s="75" t="str">
        <f>IFERROR(IF(VLOOKUP(BP5,#REF!,252,FALSE)="","",VLOOKUP(BP5,#REF!,252,FALSE)),"")</f>
        <v/>
      </c>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7"/>
      <c r="AT65" s="95" t="str">
        <f>IFERROR(IF(VLOOKUP(BP5,#REF!,253,FALSE)="","",VLOOKUP(BP5,#REF!,253,FALSE)),"")</f>
        <v/>
      </c>
      <c r="AU65" s="70"/>
      <c r="AV65" s="70"/>
      <c r="AW65" s="70"/>
      <c r="AX65" s="71"/>
      <c r="AY65" s="95" t="str">
        <f>IFERROR(IF(VLOOKUP(BP5,#REF!,254,FALSE)="","",VLOOKUP(BP5,#REF!,254,FALSE)),"")</f>
        <v/>
      </c>
      <c r="AZ65" s="70"/>
      <c r="BA65" s="70"/>
      <c r="BB65" s="70"/>
      <c r="BC65" s="71"/>
      <c r="BD65" s="92" t="str">
        <f t="shared" si="2"/>
        <v/>
      </c>
      <c r="BE65" s="93"/>
      <c r="BF65" s="93"/>
      <c r="BG65" s="93"/>
      <c r="BH65" s="94"/>
      <c r="BI65" s="92" t="str">
        <f t="shared" si="3"/>
        <v/>
      </c>
      <c r="BJ65" s="93"/>
      <c r="BK65" s="93"/>
      <c r="BL65" s="93"/>
      <c r="BM65" s="93"/>
      <c r="BN65" s="93"/>
      <c r="BO65" s="123"/>
    </row>
    <row r="66" spans="1:67" ht="20.25" customHeight="1" thickBot="1" x14ac:dyDescent="0.4">
      <c r="A66" s="78" t="s">
        <v>42</v>
      </c>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80"/>
      <c r="BD66" s="138" t="str">
        <f>IFERROR(ROUND((SUM(BD54:BD65,BD81:BD84)-SUM(AT81:AT84))/(COUNTA(BD54:BD65)-COUNTBLANK(BD54:BD65)),0),"")</f>
        <v/>
      </c>
      <c r="BE66" s="139"/>
      <c r="BF66" s="139"/>
      <c r="BG66" s="139"/>
      <c r="BH66" s="140"/>
      <c r="BI66" s="138" t="str">
        <f>IF(BD66="","",IF(BD66&gt;=75,"PASSED","FAILED"))</f>
        <v/>
      </c>
      <c r="BJ66" s="139"/>
      <c r="BK66" s="139"/>
      <c r="BL66" s="139"/>
      <c r="BM66" s="139"/>
      <c r="BN66" s="139"/>
      <c r="BO66" s="141"/>
    </row>
    <row r="67" spans="1:67" ht="3" customHeight="1" x14ac:dyDescent="0.35">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row>
    <row r="68" spans="1:67" ht="16" customHeight="1" x14ac:dyDescent="0.35">
      <c r="A68" s="42" t="s">
        <v>43</v>
      </c>
      <c r="B68" s="42"/>
      <c r="C68" s="42"/>
      <c r="D68" s="42"/>
      <c r="E68" s="42"/>
      <c r="F68" s="130" t="str">
        <f>IFERROR(IF(VLOOKUP(BP5,#REF!,257,FALSE)="","",VLOOKUP(BP5,#REF!,257,FALSE)),"")</f>
        <v/>
      </c>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row>
    <row r="69" spans="1:67" ht="3" customHeight="1" x14ac:dyDescent="0.35">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6" customHeight="1" x14ac:dyDescent="0.35">
      <c r="A70" s="42" t="s">
        <v>44</v>
      </c>
      <c r="B70" s="42"/>
      <c r="C70" s="42"/>
      <c r="D70" s="42"/>
      <c r="E70" s="42"/>
      <c r="F70" s="1"/>
      <c r="G70" s="1"/>
      <c r="H70" s="1"/>
      <c r="I70" s="1"/>
      <c r="J70" s="1"/>
      <c r="K70" s="1"/>
      <c r="L70" s="1"/>
      <c r="M70" s="1"/>
      <c r="N70" s="1"/>
      <c r="O70" s="1"/>
      <c r="P70" s="1"/>
      <c r="Q70" s="1"/>
      <c r="R70" s="1"/>
      <c r="S70" s="1"/>
      <c r="T70" s="1"/>
      <c r="U70" s="1"/>
      <c r="V70" s="42" t="s">
        <v>45</v>
      </c>
      <c r="W70" s="42"/>
      <c r="X70" s="42"/>
      <c r="Y70" s="42"/>
      <c r="Z70" s="42"/>
      <c r="AA70" s="42"/>
      <c r="AB70" s="42"/>
      <c r="AC70" s="42"/>
      <c r="AD70" s="42"/>
      <c r="AE70" s="42"/>
      <c r="AF70" s="4"/>
      <c r="AG70" s="67"/>
      <c r="AH70" s="67"/>
      <c r="AI70" s="67"/>
      <c r="AJ70" s="67"/>
      <c r="AK70" s="67"/>
      <c r="AL70" s="67"/>
      <c r="AM70" s="67"/>
      <c r="AN70" s="67"/>
      <c r="AO70" s="67"/>
      <c r="AP70" s="67"/>
      <c r="AQ70" s="67"/>
      <c r="AR70" s="67"/>
      <c r="AS70" s="67"/>
      <c r="AT70" s="67"/>
      <c r="AU70" s="1"/>
      <c r="AV70" s="4"/>
      <c r="AW70" s="4"/>
      <c r="AX70" s="4"/>
      <c r="AY70" s="4"/>
      <c r="AZ70" s="4" t="s">
        <v>46</v>
      </c>
      <c r="BA70" s="4"/>
      <c r="BB70" s="4"/>
      <c r="BC70" s="4"/>
      <c r="BD70" s="4"/>
      <c r="BE70" s="4"/>
      <c r="BF70" s="4"/>
      <c r="BG70" s="1"/>
      <c r="BH70" s="1"/>
      <c r="BI70" s="1"/>
      <c r="BJ70" s="1"/>
      <c r="BK70" s="1"/>
      <c r="BL70" s="1"/>
      <c r="BM70" s="1"/>
      <c r="BN70" s="1"/>
      <c r="BO70" s="1"/>
    </row>
    <row r="71" spans="1:67" ht="13.5" customHeight="1" x14ac:dyDescent="0.35">
      <c r="A71" s="68"/>
      <c r="B71" s="68"/>
      <c r="C71" s="68"/>
      <c r="D71" s="68"/>
      <c r="E71" s="68"/>
      <c r="F71" s="68"/>
      <c r="G71" s="68"/>
      <c r="H71" s="68"/>
      <c r="I71" s="68"/>
      <c r="J71" s="68"/>
      <c r="K71" s="68"/>
      <c r="L71" s="68"/>
      <c r="M71" s="68"/>
      <c r="N71" s="68"/>
      <c r="O71" s="68"/>
      <c r="P71" s="68"/>
      <c r="Q71" s="68"/>
      <c r="R71" s="4"/>
      <c r="S71" s="4"/>
      <c r="T71" s="4"/>
      <c r="U71" s="4"/>
      <c r="V71" s="4"/>
      <c r="W71" s="4"/>
      <c r="X71" s="4"/>
      <c r="Y71" s="67"/>
      <c r="Z71" s="67"/>
      <c r="AA71" s="67"/>
      <c r="AB71" s="67"/>
      <c r="AC71" s="67"/>
      <c r="AD71" s="67"/>
      <c r="AE71" s="67"/>
      <c r="AF71" s="67"/>
      <c r="AG71" s="67"/>
      <c r="AH71" s="67"/>
      <c r="AI71" s="67"/>
      <c r="AJ71" s="67"/>
      <c r="AK71" s="67"/>
      <c r="AL71" s="67"/>
      <c r="AM71" s="67"/>
      <c r="AN71" s="67"/>
      <c r="AO71" s="67"/>
      <c r="AP71" s="4"/>
      <c r="AQ71" s="4"/>
      <c r="AR71" s="4"/>
      <c r="AS71" s="4"/>
      <c r="AT71" s="1"/>
      <c r="AU71" s="68"/>
      <c r="AV71" s="68"/>
      <c r="AW71" s="68"/>
      <c r="AX71" s="68"/>
      <c r="AY71" s="68"/>
      <c r="AZ71" s="68"/>
      <c r="BA71" s="68"/>
      <c r="BB71" s="68"/>
      <c r="BC71" s="68"/>
      <c r="BD71" s="68"/>
      <c r="BE71" s="1"/>
      <c r="BF71" s="1"/>
      <c r="BG71" s="1"/>
      <c r="BH71" s="1"/>
      <c r="BI71" s="1"/>
      <c r="BJ71" s="1"/>
      <c r="BK71" s="1"/>
      <c r="BL71" s="1"/>
      <c r="BM71" s="1"/>
      <c r="BN71" s="1"/>
      <c r="BO71" s="1"/>
    </row>
    <row r="72" spans="1:67" ht="16" customHeight="1" x14ac:dyDescent="0.35">
      <c r="A72" s="81" t="str">
        <f>IFERROR(IF(VLOOKUP(BP5,#REF!,262,FALSE)="","",VLOOKUP(BP5,#REF!,262,FALSE)),"")</f>
        <v/>
      </c>
      <c r="B72" s="81"/>
      <c r="C72" s="81"/>
      <c r="D72" s="81"/>
      <c r="E72" s="81"/>
      <c r="F72" s="81"/>
      <c r="G72" s="81"/>
      <c r="H72" s="81"/>
      <c r="I72" s="81"/>
      <c r="J72" s="81"/>
      <c r="K72" s="81"/>
      <c r="L72" s="81"/>
      <c r="M72" s="81"/>
      <c r="N72" s="81"/>
      <c r="O72" s="81"/>
      <c r="P72" s="81"/>
      <c r="Q72" s="81"/>
      <c r="R72" s="81"/>
      <c r="S72" s="81"/>
      <c r="T72" s="1"/>
      <c r="U72" s="1"/>
      <c r="V72" s="1"/>
      <c r="W72" s="1"/>
      <c r="X72" s="1"/>
      <c r="Y72" s="81" t="str">
        <f>IF(A72="","","HAZEL G. GUTIERREZ, Registrar I")</f>
        <v/>
      </c>
      <c r="Z72" s="81"/>
      <c r="AA72" s="81"/>
      <c r="AB72" s="81"/>
      <c r="AC72" s="81"/>
      <c r="AD72" s="81"/>
      <c r="AE72" s="81"/>
      <c r="AF72" s="81"/>
      <c r="AG72" s="81"/>
      <c r="AH72" s="81"/>
      <c r="AI72" s="81"/>
      <c r="AJ72" s="81"/>
      <c r="AK72" s="81"/>
      <c r="AL72" s="81"/>
      <c r="AM72" s="81"/>
      <c r="AN72" s="81"/>
      <c r="AO72" s="81"/>
      <c r="AP72" s="81"/>
      <c r="AQ72" s="81"/>
      <c r="AR72" s="81"/>
      <c r="AS72" s="81"/>
      <c r="AT72" s="1"/>
      <c r="AU72" s="29"/>
      <c r="AV72" s="29"/>
      <c r="AW72" s="29"/>
      <c r="AX72" s="29"/>
      <c r="AY72" s="29"/>
      <c r="AZ72" s="167"/>
      <c r="BA72" s="82"/>
      <c r="BB72" s="82"/>
      <c r="BC72" s="82"/>
      <c r="BD72" s="82"/>
      <c r="BE72" s="82"/>
      <c r="BF72" s="82"/>
      <c r="BG72" s="82"/>
      <c r="BH72" s="82"/>
      <c r="BI72" s="82"/>
      <c r="BJ72" s="82"/>
      <c r="BK72" s="82"/>
      <c r="BL72" s="82"/>
      <c r="BM72" s="82"/>
      <c r="BN72" s="82"/>
      <c r="BO72" s="82"/>
    </row>
    <row r="73" spans="1:67" ht="16" customHeight="1" x14ac:dyDescent="0.35">
      <c r="A73" s="83" t="s">
        <v>47</v>
      </c>
      <c r="B73" s="83"/>
      <c r="C73" s="83"/>
      <c r="D73" s="83"/>
      <c r="E73" s="83"/>
      <c r="F73" s="83"/>
      <c r="G73" s="83"/>
      <c r="H73" s="83"/>
      <c r="I73" s="83"/>
      <c r="J73" s="83"/>
      <c r="K73" s="83"/>
      <c r="L73" s="83"/>
      <c r="M73" s="83"/>
      <c r="N73" s="83"/>
      <c r="O73" s="83"/>
      <c r="P73" s="83"/>
      <c r="Q73" s="83"/>
      <c r="R73" s="83"/>
      <c r="S73" s="83"/>
      <c r="T73" s="4"/>
      <c r="U73" s="4"/>
      <c r="V73" s="1"/>
      <c r="W73" s="1"/>
      <c r="X73" s="1"/>
      <c r="Y73" s="83" t="s">
        <v>48</v>
      </c>
      <c r="Z73" s="83"/>
      <c r="AA73" s="83"/>
      <c r="AB73" s="83"/>
      <c r="AC73" s="83"/>
      <c r="AD73" s="83"/>
      <c r="AE73" s="83"/>
      <c r="AF73" s="83"/>
      <c r="AG73" s="83"/>
      <c r="AH73" s="83"/>
      <c r="AI73" s="83"/>
      <c r="AJ73" s="83"/>
      <c r="AK73" s="83"/>
      <c r="AL73" s="83"/>
      <c r="AM73" s="83"/>
      <c r="AN73" s="83"/>
      <c r="AO73" s="83"/>
      <c r="AP73" s="83"/>
      <c r="AQ73" s="83"/>
      <c r="AR73" s="83"/>
      <c r="AS73" s="83"/>
      <c r="AT73" s="1"/>
      <c r="AU73" s="1"/>
      <c r="AV73" s="1"/>
      <c r="AW73" s="1"/>
      <c r="AX73" s="1"/>
      <c r="AY73" s="1"/>
      <c r="AZ73" s="1"/>
      <c r="BA73" s="1"/>
      <c r="BB73" s="1"/>
      <c r="BC73" s="1"/>
      <c r="BD73" s="1"/>
      <c r="BE73" s="1"/>
      <c r="BF73" s="1"/>
      <c r="BG73" s="1"/>
      <c r="BH73" s="1"/>
      <c r="BI73" s="1"/>
      <c r="BJ73" s="1"/>
      <c r="BK73" s="1"/>
      <c r="BL73" s="1"/>
      <c r="BM73" s="1"/>
      <c r="BN73" s="1"/>
      <c r="BO73" s="1"/>
    </row>
    <row r="74" spans="1:67" ht="9" customHeight="1" x14ac:dyDescent="0.3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68"/>
      <c r="BK74" s="68"/>
      <c r="BL74" s="68"/>
      <c r="BM74" s="68"/>
      <c r="BN74" s="68"/>
      <c r="BO74" s="68"/>
    </row>
    <row r="75" spans="1:67" x14ac:dyDescent="0.35">
      <c r="A75" s="42" t="s">
        <v>49</v>
      </c>
      <c r="B75" s="42"/>
      <c r="C75" s="42"/>
      <c r="D75" s="42"/>
      <c r="E75" s="42"/>
      <c r="F75" s="42"/>
      <c r="G75" s="65" t="s">
        <v>50</v>
      </c>
      <c r="H75" s="65"/>
      <c r="I75" s="65"/>
      <c r="J75" s="65"/>
      <c r="K75" s="65"/>
      <c r="L75" s="65"/>
      <c r="M75" s="65"/>
      <c r="N75" s="65"/>
      <c r="O75" s="65"/>
      <c r="P75" s="65"/>
      <c r="Q75" s="65"/>
      <c r="R75" s="65"/>
      <c r="S75" s="87"/>
      <c r="T75" s="87"/>
      <c r="U75" s="87"/>
      <c r="V75" s="87"/>
      <c r="W75" s="65" t="s">
        <v>51</v>
      </c>
      <c r="X75" s="65"/>
      <c r="Y75" s="65"/>
      <c r="Z75" s="65"/>
      <c r="AA75" s="65"/>
      <c r="AB75" s="65"/>
      <c r="AC75" s="87"/>
      <c r="AD75" s="87"/>
      <c r="AE75" s="87"/>
      <c r="AF75" s="87"/>
      <c r="AG75" s="1"/>
      <c r="AH75" s="65" t="s">
        <v>32</v>
      </c>
      <c r="AI75" s="65"/>
      <c r="AJ75" s="65"/>
      <c r="AK75" s="65"/>
      <c r="AL75" s="66"/>
      <c r="AM75" s="66"/>
      <c r="AN75" s="66"/>
      <c r="AO75" s="66"/>
      <c r="AP75" s="66"/>
      <c r="AQ75" s="66"/>
      <c r="AR75" s="66"/>
      <c r="AS75" s="66"/>
      <c r="AT75" s="66"/>
      <c r="AU75" s="66"/>
      <c r="AV75" s="66"/>
      <c r="AW75" s="66"/>
      <c r="AX75" s="66"/>
      <c r="AY75" s="66"/>
      <c r="AZ75" s="66"/>
      <c r="BA75" s="66"/>
      <c r="BB75" s="66"/>
      <c r="BC75" s="66"/>
      <c r="BD75" s="66"/>
      <c r="BE75" s="66"/>
      <c r="BF75" s="67" t="s">
        <v>33</v>
      </c>
      <c r="BG75" s="67"/>
      <c r="BH75" s="67"/>
      <c r="BI75" s="67"/>
      <c r="BJ75" s="67"/>
      <c r="BK75" s="66"/>
      <c r="BL75" s="66"/>
      <c r="BM75" s="66"/>
      <c r="BN75" s="66"/>
      <c r="BO75" s="66"/>
    </row>
    <row r="76" spans="1:67" ht="3" customHeight="1" thickBot="1" x14ac:dyDescent="0.4">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5">
      <c r="A77" s="47" t="s">
        <v>39</v>
      </c>
      <c r="B77" s="48"/>
      <c r="C77" s="48"/>
      <c r="D77" s="48"/>
      <c r="E77" s="48"/>
      <c r="F77" s="48"/>
      <c r="G77" s="48"/>
      <c r="H77" s="49"/>
      <c r="I77" s="56" t="s">
        <v>3</v>
      </c>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8"/>
      <c r="AT77" s="84" t="s">
        <v>40</v>
      </c>
      <c r="AU77" s="48"/>
      <c r="AV77" s="48"/>
      <c r="AW77" s="48"/>
      <c r="AX77" s="49"/>
      <c r="AY77" s="48" t="s">
        <v>52</v>
      </c>
      <c r="AZ77" s="48"/>
      <c r="BA77" s="48"/>
      <c r="BB77" s="48"/>
      <c r="BC77" s="49"/>
      <c r="BD77" s="43" t="s">
        <v>53</v>
      </c>
      <c r="BE77" s="43"/>
      <c r="BF77" s="43"/>
      <c r="BG77" s="43"/>
      <c r="BH77" s="43"/>
      <c r="BI77" s="43" t="s">
        <v>41</v>
      </c>
      <c r="BJ77" s="43"/>
      <c r="BK77" s="43"/>
      <c r="BL77" s="43"/>
      <c r="BM77" s="43"/>
      <c r="BN77" s="43"/>
      <c r="BO77" s="45"/>
    </row>
    <row r="78" spans="1:67" ht="11.25" customHeight="1" x14ac:dyDescent="0.35">
      <c r="A78" s="50"/>
      <c r="B78" s="51"/>
      <c r="C78" s="51"/>
      <c r="D78" s="51"/>
      <c r="E78" s="51"/>
      <c r="F78" s="51"/>
      <c r="G78" s="51"/>
      <c r="H78" s="52"/>
      <c r="I78" s="59"/>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1"/>
      <c r="AT78" s="85"/>
      <c r="AU78" s="51"/>
      <c r="AV78" s="51"/>
      <c r="AW78" s="51"/>
      <c r="AX78" s="52"/>
      <c r="AY78" s="51"/>
      <c r="AZ78" s="51"/>
      <c r="BA78" s="51"/>
      <c r="BB78" s="51"/>
      <c r="BC78" s="52"/>
      <c r="BD78" s="44"/>
      <c r="BE78" s="44"/>
      <c r="BF78" s="44"/>
      <c r="BG78" s="44"/>
      <c r="BH78" s="44"/>
      <c r="BI78" s="44"/>
      <c r="BJ78" s="44"/>
      <c r="BK78" s="44"/>
      <c r="BL78" s="44"/>
      <c r="BM78" s="44"/>
      <c r="BN78" s="44"/>
      <c r="BO78" s="46"/>
    </row>
    <row r="79" spans="1:67" ht="11.25" customHeight="1" x14ac:dyDescent="0.35">
      <c r="A79" s="50"/>
      <c r="B79" s="51"/>
      <c r="C79" s="51"/>
      <c r="D79" s="51"/>
      <c r="E79" s="51"/>
      <c r="F79" s="51"/>
      <c r="G79" s="51"/>
      <c r="H79" s="52"/>
      <c r="I79" s="59"/>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1"/>
      <c r="AT79" s="85"/>
      <c r="AU79" s="51"/>
      <c r="AV79" s="51"/>
      <c r="AW79" s="51"/>
      <c r="AX79" s="52"/>
      <c r="AY79" s="51"/>
      <c r="AZ79" s="51"/>
      <c r="BA79" s="51"/>
      <c r="BB79" s="51"/>
      <c r="BC79" s="52"/>
      <c r="BD79" s="44"/>
      <c r="BE79" s="44"/>
      <c r="BF79" s="44"/>
      <c r="BG79" s="44"/>
      <c r="BH79" s="44"/>
      <c r="BI79" s="44"/>
      <c r="BJ79" s="44"/>
      <c r="BK79" s="44"/>
      <c r="BL79" s="44"/>
      <c r="BM79" s="44"/>
      <c r="BN79" s="44"/>
      <c r="BO79" s="46"/>
    </row>
    <row r="80" spans="1:67" ht="11.25" customHeight="1" x14ac:dyDescent="0.35">
      <c r="A80" s="53"/>
      <c r="B80" s="54"/>
      <c r="C80" s="54"/>
      <c r="D80" s="54"/>
      <c r="E80" s="54"/>
      <c r="F80" s="54"/>
      <c r="G80" s="54"/>
      <c r="H80" s="55"/>
      <c r="I80" s="62"/>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86"/>
      <c r="AU80" s="54"/>
      <c r="AV80" s="54"/>
      <c r="AW80" s="54"/>
      <c r="AX80" s="55"/>
      <c r="AY80" s="54"/>
      <c r="AZ80" s="54"/>
      <c r="BA80" s="54"/>
      <c r="BB80" s="54"/>
      <c r="BC80" s="55"/>
      <c r="BD80" s="44"/>
      <c r="BE80" s="44"/>
      <c r="BF80" s="44"/>
      <c r="BG80" s="44"/>
      <c r="BH80" s="44"/>
      <c r="BI80" s="44"/>
      <c r="BJ80" s="44"/>
      <c r="BK80" s="44"/>
      <c r="BL80" s="44"/>
      <c r="BM80" s="44"/>
      <c r="BN80" s="44"/>
      <c r="BO80" s="46"/>
    </row>
    <row r="81" spans="1:67" ht="20.25" customHeight="1" x14ac:dyDescent="0.35">
      <c r="A81" s="69"/>
      <c r="B81" s="70"/>
      <c r="C81" s="70"/>
      <c r="D81" s="70"/>
      <c r="E81" s="70"/>
      <c r="F81" s="70"/>
      <c r="G81" s="70"/>
      <c r="H81" s="71"/>
      <c r="I81" s="75"/>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7"/>
      <c r="AT81" s="72"/>
      <c r="AU81" s="72"/>
      <c r="AV81" s="72"/>
      <c r="AW81" s="72"/>
      <c r="AX81" s="72"/>
      <c r="AY81" s="72"/>
      <c r="AZ81" s="72"/>
      <c r="BA81" s="72"/>
      <c r="BB81" s="72"/>
      <c r="BC81" s="72"/>
      <c r="BD81" s="73" t="str">
        <f>IF(OR(AT81="",AY81=""),"",IF(ISERROR(ROUND(AVERAGE(AT81,AY81),0)),"",ROUND(AVERAGE(AT81,AY81),0)))</f>
        <v/>
      </c>
      <c r="BE81" s="73"/>
      <c r="BF81" s="73"/>
      <c r="BG81" s="73"/>
      <c r="BH81" s="73"/>
      <c r="BI81" s="73" t="str">
        <f>IF(OR(AT81="",AY81="",BD81=""),"",IF(BD81&gt;=75,"PASSED","FAILED"))</f>
        <v/>
      </c>
      <c r="BJ81" s="73"/>
      <c r="BK81" s="73"/>
      <c r="BL81" s="73"/>
      <c r="BM81" s="73"/>
      <c r="BN81" s="73"/>
      <c r="BO81" s="74"/>
    </row>
    <row r="82" spans="1:67" ht="20.25" customHeight="1" x14ac:dyDescent="0.35">
      <c r="A82" s="69"/>
      <c r="B82" s="70"/>
      <c r="C82" s="70"/>
      <c r="D82" s="70"/>
      <c r="E82" s="70"/>
      <c r="F82" s="70"/>
      <c r="G82" s="70"/>
      <c r="H82" s="71"/>
      <c r="I82" s="75"/>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7"/>
      <c r="AT82" s="72"/>
      <c r="AU82" s="72"/>
      <c r="AV82" s="72"/>
      <c r="AW82" s="72"/>
      <c r="AX82" s="72"/>
      <c r="AY82" s="72"/>
      <c r="AZ82" s="72"/>
      <c r="BA82" s="72"/>
      <c r="BB82" s="72"/>
      <c r="BC82" s="72"/>
      <c r="BD82" s="73" t="str">
        <f>IF(OR(AT82="",AY82=""),"",IF(ISERROR(ROUND(AVERAGE(AT82,AY82),0)),"",ROUND(AVERAGE(AT82,AY82),0)))</f>
        <v/>
      </c>
      <c r="BE82" s="73"/>
      <c r="BF82" s="73"/>
      <c r="BG82" s="73"/>
      <c r="BH82" s="73"/>
      <c r="BI82" s="73" t="str">
        <f>IF(OR(AT82="",AY82="",BD82=""),"",IF(BD82&gt;=75,"PASSED","FAILED"))</f>
        <v/>
      </c>
      <c r="BJ82" s="73"/>
      <c r="BK82" s="73"/>
      <c r="BL82" s="73"/>
      <c r="BM82" s="73"/>
      <c r="BN82" s="73"/>
      <c r="BO82" s="74"/>
    </row>
    <row r="83" spans="1:67" ht="20.25" customHeight="1" x14ac:dyDescent="0.35">
      <c r="A83" s="69"/>
      <c r="B83" s="70"/>
      <c r="C83" s="70"/>
      <c r="D83" s="70"/>
      <c r="E83" s="70"/>
      <c r="F83" s="70"/>
      <c r="G83" s="70"/>
      <c r="H83" s="71"/>
      <c r="I83" s="75"/>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7"/>
      <c r="AT83" s="72"/>
      <c r="AU83" s="72"/>
      <c r="AV83" s="72"/>
      <c r="AW83" s="72"/>
      <c r="AX83" s="72"/>
      <c r="AY83" s="72"/>
      <c r="AZ83" s="72"/>
      <c r="BA83" s="72"/>
      <c r="BB83" s="72"/>
      <c r="BC83" s="72"/>
      <c r="BD83" s="73" t="str">
        <f>IF(OR(AT83="",AY83=""),"",IF(ISERROR(ROUND(AVERAGE(AT83,AY83),0)),"",ROUND(AVERAGE(AT83,AY83),0)))</f>
        <v/>
      </c>
      <c r="BE83" s="73"/>
      <c r="BF83" s="73"/>
      <c r="BG83" s="73"/>
      <c r="BH83" s="73"/>
      <c r="BI83" s="73" t="str">
        <f>IF(OR(AT83="",AY83="",BD83=""),"",IF(BD83&gt;=75,"PASSED","FAILED"))</f>
        <v/>
      </c>
      <c r="BJ83" s="73"/>
      <c r="BK83" s="73"/>
      <c r="BL83" s="73"/>
      <c r="BM83" s="73"/>
      <c r="BN83" s="73"/>
      <c r="BO83" s="74"/>
    </row>
    <row r="84" spans="1:67" ht="20.25" customHeight="1" thickBot="1" x14ac:dyDescent="0.4">
      <c r="A84" s="115"/>
      <c r="B84" s="116"/>
      <c r="C84" s="116"/>
      <c r="D84" s="116"/>
      <c r="E84" s="116"/>
      <c r="F84" s="116"/>
      <c r="G84" s="116"/>
      <c r="H84" s="117"/>
      <c r="I84" s="101"/>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3"/>
      <c r="AT84" s="113"/>
      <c r="AU84" s="113"/>
      <c r="AV84" s="113"/>
      <c r="AW84" s="113"/>
      <c r="AX84" s="113"/>
      <c r="AY84" s="113"/>
      <c r="AZ84" s="113"/>
      <c r="BA84" s="113"/>
      <c r="BB84" s="113"/>
      <c r="BC84" s="113"/>
      <c r="BD84" s="114" t="str">
        <f>IF(OR(AT84="",AY84=""),"",IF(ISERROR(ROUND(AVERAGE(AT84,AY84),0)),"",ROUND(AVERAGE(AT84,AY84),0)))</f>
        <v/>
      </c>
      <c r="BE84" s="114"/>
      <c r="BF84" s="114"/>
      <c r="BG84" s="114"/>
      <c r="BH84" s="114"/>
      <c r="BI84" s="114" t="str">
        <f>IF(OR(AT84="",AY84="",BD84=""),"",IF(BD84&gt;=75,"PASSED","FAILED"))</f>
        <v/>
      </c>
      <c r="BJ84" s="114"/>
      <c r="BK84" s="114"/>
      <c r="BL84" s="114"/>
      <c r="BM84" s="114"/>
      <c r="BN84" s="114"/>
      <c r="BO84" s="121"/>
    </row>
    <row r="85" spans="1:67" ht="3" customHeight="1" x14ac:dyDescent="0.35">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c r="BH85" s="160"/>
      <c r="BI85" s="160"/>
      <c r="BJ85" s="160"/>
      <c r="BK85" s="160"/>
      <c r="BL85" s="160"/>
      <c r="BM85" s="160"/>
      <c r="BN85" s="160"/>
      <c r="BO85" s="160"/>
    </row>
    <row r="86" spans="1:67" ht="22.5" customHeight="1" x14ac:dyDescent="0.35">
      <c r="A86" s="111" t="s">
        <v>54</v>
      </c>
      <c r="B86" s="111"/>
      <c r="C86" s="111"/>
      <c r="D86" s="111"/>
      <c r="E86" s="111"/>
      <c r="F86" s="111"/>
      <c r="G86" s="111"/>
      <c r="H86" s="111"/>
      <c r="I86" s="111"/>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7" t="s">
        <v>55</v>
      </c>
      <c r="AU86" s="107"/>
      <c r="AV86" s="107"/>
      <c r="AW86" s="107"/>
      <c r="AX86" s="107"/>
      <c r="AY86" s="130"/>
      <c r="AZ86" s="130"/>
      <c r="BA86" s="130"/>
      <c r="BB86" s="130"/>
      <c r="BC86" s="130"/>
      <c r="BD86" s="130"/>
      <c r="BE86" s="130"/>
      <c r="BF86" s="130"/>
      <c r="BG86" s="130"/>
      <c r="BH86" s="130"/>
      <c r="BI86" s="130"/>
      <c r="BJ86" s="130"/>
      <c r="BK86" s="130"/>
      <c r="BL86" s="130"/>
      <c r="BM86" s="130"/>
      <c r="BN86" s="130"/>
      <c r="BO86" s="130"/>
    </row>
    <row r="87" spans="1:67" ht="3" customHeight="1" x14ac:dyDescent="0.35">
      <c r="A87" s="161"/>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row>
    <row r="88" spans="1:67" ht="9.75" customHeight="1" x14ac:dyDescent="0.35">
      <c r="A88" s="120"/>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row>
    <row r="89" spans="1:67" ht="3" customHeight="1" x14ac:dyDescent="0.35">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row>
    <row r="90" spans="1:67" x14ac:dyDescent="0.35">
      <c r="A90" s="42" t="s">
        <v>58</v>
      </c>
      <c r="B90" s="42"/>
      <c r="C90" s="42"/>
      <c r="D90" s="42"/>
      <c r="E90" s="42"/>
      <c r="F90" s="42"/>
      <c r="G90" s="42"/>
      <c r="H90" s="42"/>
      <c r="I90" s="100" t="str">
        <f>G48</f>
        <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65" t="s">
        <v>59</v>
      </c>
      <c r="BC90" s="65"/>
      <c r="BD90" s="65"/>
      <c r="BE90" s="65"/>
      <c r="BF90" s="65"/>
      <c r="BG90" s="65"/>
      <c r="BH90" s="65"/>
      <c r="BI90" s="65"/>
      <c r="BJ90" s="65"/>
      <c r="BK90" s="165" t="e">
        <f>IF(VLOOKUP($BP$4,#REF!,58,FALSE)="","",VLOOKUP($BP$4,#REF!,58,FALSE))</f>
        <v>#REF!</v>
      </c>
      <c r="BL90" s="165"/>
      <c r="BM90" s="165"/>
      <c r="BN90" s="165"/>
      <c r="BO90" s="165"/>
    </row>
    <row r="91" spans="1:67" x14ac:dyDescent="0.35">
      <c r="A91" s="42" t="s">
        <v>60</v>
      </c>
      <c r="B91" s="42"/>
      <c r="C91" s="42"/>
      <c r="D91" s="42"/>
      <c r="E91" s="42"/>
      <c r="F91" s="42"/>
      <c r="G91" s="42"/>
      <c r="H91" s="42"/>
      <c r="I91" s="181" t="str">
        <f>IFERROR(IF(VLOOKUP(BP5,#REF!,258,FALSE)="","",VLOOKUP(BP5,#REF!,258,FALSE)),"")</f>
        <v/>
      </c>
      <c r="J91" s="181"/>
      <c r="K91" s="181"/>
      <c r="L91" s="181"/>
      <c r="M91" s="181"/>
      <c r="N91" s="181"/>
      <c r="O91" s="181"/>
      <c r="P91" s="181"/>
      <c r="Q91" s="181"/>
      <c r="R91" s="181"/>
      <c r="S91" s="181"/>
      <c r="T91" s="181"/>
      <c r="U91" s="181"/>
      <c r="V91" s="181"/>
      <c r="W91" s="181"/>
      <c r="X91" s="181"/>
      <c r="Y91" s="181"/>
      <c r="Z91" s="181"/>
      <c r="AA91" s="181"/>
      <c r="AB91" s="181"/>
      <c r="AC91" s="181"/>
      <c r="AD91" s="181"/>
      <c r="AE91" s="181"/>
      <c r="AF91" s="181"/>
      <c r="AG91" s="181"/>
      <c r="AH91" s="181"/>
      <c r="AI91" s="181"/>
      <c r="AJ91" s="181"/>
      <c r="AK91" s="181"/>
      <c r="AL91" s="181"/>
      <c r="AM91" s="181"/>
      <c r="AN91" s="181"/>
      <c r="AO91" s="181"/>
      <c r="AP91" s="181"/>
      <c r="AQ91" s="181"/>
      <c r="AR91" s="181"/>
      <c r="AS91" s="181"/>
      <c r="AT91" s="65" t="s">
        <v>61</v>
      </c>
      <c r="AU91" s="65"/>
      <c r="AV91" s="65"/>
      <c r="AW91" s="65"/>
      <c r="AX91" s="65"/>
      <c r="AY91" s="65"/>
      <c r="AZ91" s="65"/>
      <c r="BA91" s="65"/>
      <c r="BB91" s="65"/>
      <c r="BC91" s="65"/>
      <c r="BD91" s="65"/>
      <c r="BE91" s="65"/>
      <c r="BF91" s="65"/>
      <c r="BG91" s="65"/>
      <c r="BH91" s="65"/>
      <c r="BI91" s="82"/>
      <c r="BJ91" s="82"/>
      <c r="BK91" s="82"/>
      <c r="BL91" s="82"/>
      <c r="BM91" s="82"/>
      <c r="BN91" s="82"/>
      <c r="BO91" s="82"/>
    </row>
    <row r="92" spans="1:67" ht="3" customHeight="1" x14ac:dyDescent="0.3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row>
    <row r="93" spans="1:67" x14ac:dyDescent="0.35">
      <c r="A93" s="42" t="s">
        <v>62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 t="s">
        <v>63</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1.25" customHeight="1" x14ac:dyDescent="0.35">
      <c r="A94" s="162"/>
      <c r="B94" s="162"/>
      <c r="C94" s="162"/>
      <c r="D94" s="162"/>
      <c r="E94" s="162"/>
      <c r="F94" s="162"/>
      <c r="G94" s="162"/>
      <c r="H94" s="162"/>
      <c r="I94" s="162"/>
      <c r="J94" s="162"/>
      <c r="K94" s="162"/>
      <c r="L94" s="162"/>
      <c r="M94" s="162"/>
      <c r="N94" s="162"/>
      <c r="O94" s="162"/>
      <c r="P94" s="162"/>
      <c r="Q94" s="1"/>
      <c r="R94" s="1"/>
      <c r="S94" s="1"/>
      <c r="T94" s="163"/>
      <c r="U94" s="163"/>
      <c r="V94" s="163"/>
      <c r="W94" s="163"/>
      <c r="X94" s="163"/>
      <c r="Y94" s="163"/>
      <c r="Z94" s="163"/>
      <c r="AA94" s="163"/>
      <c r="AB94" s="163"/>
      <c r="AC94" s="163"/>
      <c r="AD94" s="163"/>
      <c r="AE94" s="1"/>
      <c r="AF94" s="1"/>
      <c r="AH94" s="1"/>
      <c r="AI94" s="1"/>
      <c r="AJ94" s="176"/>
      <c r="AK94" s="177"/>
      <c r="AL94" s="177"/>
      <c r="AM94" s="177"/>
      <c r="AN94" s="177"/>
      <c r="AO94" s="177"/>
      <c r="AP94" s="177"/>
      <c r="AQ94" s="177"/>
      <c r="AR94" s="177"/>
      <c r="AS94" s="177"/>
      <c r="AT94" s="177"/>
      <c r="AU94" s="177"/>
      <c r="AV94" s="177"/>
      <c r="AW94" s="177"/>
      <c r="AX94" s="177"/>
      <c r="AY94" s="177"/>
      <c r="AZ94" s="177"/>
      <c r="BA94" s="177"/>
      <c r="BB94" s="177"/>
      <c r="BC94" s="177"/>
      <c r="BD94" s="177"/>
      <c r="BE94" s="177"/>
      <c r="BF94" s="177"/>
      <c r="BG94" s="177"/>
      <c r="BH94" s="177"/>
      <c r="BI94" s="177"/>
      <c r="BJ94" s="177"/>
      <c r="BK94" s="177"/>
      <c r="BL94" s="177"/>
      <c r="BM94" s="177"/>
      <c r="BN94" s="177"/>
      <c r="BO94" s="177"/>
    </row>
    <row r="95" spans="1:67" ht="11.25" customHeight="1" x14ac:dyDescent="0.35">
      <c r="A95" s="162"/>
      <c r="B95" s="162"/>
      <c r="C95" s="162"/>
      <c r="D95" s="162"/>
      <c r="E95" s="162"/>
      <c r="F95" s="162"/>
      <c r="G95" s="162"/>
      <c r="H95" s="162"/>
      <c r="I95" s="162"/>
      <c r="J95" s="162"/>
      <c r="K95" s="162"/>
      <c r="L95" s="162"/>
      <c r="M95" s="162"/>
      <c r="N95" s="162"/>
      <c r="O95" s="162"/>
      <c r="P95" s="162"/>
      <c r="Q95" s="1"/>
      <c r="R95" s="1"/>
      <c r="S95" s="1"/>
      <c r="T95" s="163"/>
      <c r="U95" s="163"/>
      <c r="V95" s="163"/>
      <c r="W95" s="163"/>
      <c r="X95" s="163"/>
      <c r="Y95" s="163"/>
      <c r="Z95" s="163"/>
      <c r="AA95" s="163"/>
      <c r="AB95" s="163"/>
      <c r="AC95" s="163"/>
      <c r="AD95" s="163"/>
      <c r="AE95" s="1"/>
      <c r="AF95" s="1"/>
      <c r="AG95" s="10"/>
      <c r="AH95" s="10"/>
      <c r="AI95" s="10"/>
      <c r="AJ95" s="176"/>
      <c r="AK95" s="177"/>
      <c r="AL95" s="177"/>
      <c r="AM95" s="177"/>
      <c r="AN95" s="177"/>
      <c r="AO95" s="177"/>
      <c r="AP95" s="177"/>
      <c r="AQ95" s="177"/>
      <c r="AR95" s="177"/>
      <c r="AS95" s="177"/>
      <c r="AT95" s="177"/>
      <c r="AU95" s="177"/>
      <c r="AV95" s="177"/>
      <c r="AW95" s="177"/>
      <c r="AX95" s="177"/>
      <c r="AY95" s="177"/>
      <c r="AZ95" s="177"/>
      <c r="BA95" s="177"/>
      <c r="BB95" s="177"/>
      <c r="BC95" s="177"/>
      <c r="BD95" s="177"/>
      <c r="BE95" s="177"/>
      <c r="BF95" s="177"/>
      <c r="BG95" s="177"/>
      <c r="BH95" s="177"/>
      <c r="BI95" s="177"/>
      <c r="BJ95" s="177"/>
      <c r="BK95" s="177"/>
      <c r="BL95" s="177"/>
      <c r="BM95" s="177"/>
      <c r="BN95" s="177"/>
      <c r="BO95" s="177"/>
    </row>
    <row r="96" spans="1:67" ht="11.25" customHeight="1" x14ac:dyDescent="0.35">
      <c r="A96" s="81"/>
      <c r="B96" s="81"/>
      <c r="C96" s="81"/>
      <c r="D96" s="81"/>
      <c r="E96" s="81"/>
      <c r="F96" s="81"/>
      <c r="G96" s="81"/>
      <c r="H96" s="81"/>
      <c r="I96" s="81"/>
      <c r="J96" s="81"/>
      <c r="K96" s="81"/>
      <c r="L96" s="81"/>
      <c r="M96" s="81"/>
      <c r="N96" s="81"/>
      <c r="O96" s="81"/>
      <c r="P96" s="81"/>
      <c r="Q96" s="1"/>
      <c r="R96" s="1"/>
      <c r="S96" s="1"/>
      <c r="T96" s="164"/>
      <c r="U96" s="164"/>
      <c r="V96" s="164"/>
      <c r="W96" s="164"/>
      <c r="X96" s="164"/>
      <c r="Y96" s="164"/>
      <c r="Z96" s="164"/>
      <c r="AA96" s="164"/>
      <c r="AB96" s="164"/>
      <c r="AC96" s="164"/>
      <c r="AD96" s="164"/>
      <c r="AE96" s="1"/>
      <c r="AF96" s="1"/>
      <c r="AG96" s="10"/>
      <c r="AH96" s="10"/>
      <c r="AI96" s="10"/>
      <c r="AJ96" s="176"/>
      <c r="AK96" s="177"/>
      <c r="AL96" s="177"/>
      <c r="AM96" s="177"/>
      <c r="AN96" s="177"/>
      <c r="AO96" s="177"/>
      <c r="AP96" s="177"/>
      <c r="AQ96" s="177"/>
      <c r="AR96" s="177"/>
      <c r="AS96" s="177"/>
      <c r="AT96" s="177"/>
      <c r="AU96" s="177"/>
      <c r="AV96" s="177"/>
      <c r="AW96" s="177"/>
      <c r="AX96" s="177"/>
      <c r="AY96" s="177"/>
      <c r="AZ96" s="177"/>
      <c r="BA96" s="177"/>
      <c r="BB96" s="177"/>
      <c r="BC96" s="177"/>
      <c r="BD96" s="177"/>
      <c r="BE96" s="177"/>
      <c r="BF96" s="177"/>
      <c r="BG96" s="177"/>
      <c r="BH96" s="177"/>
      <c r="BI96" s="177"/>
      <c r="BJ96" s="177"/>
      <c r="BK96" s="177"/>
      <c r="BL96" s="177"/>
      <c r="BM96" s="177"/>
      <c r="BN96" s="177"/>
      <c r="BO96" s="177"/>
    </row>
    <row r="97" spans="1:67" ht="13.5" customHeight="1" x14ac:dyDescent="0.35">
      <c r="A97" s="83" t="s">
        <v>64</v>
      </c>
      <c r="B97" s="83"/>
      <c r="C97" s="83"/>
      <c r="D97" s="83"/>
      <c r="E97" s="83"/>
      <c r="F97" s="83"/>
      <c r="G97" s="83"/>
      <c r="H97" s="83"/>
      <c r="I97" s="83"/>
      <c r="J97" s="83"/>
      <c r="K97" s="83"/>
      <c r="L97" s="83"/>
      <c r="M97" s="83"/>
      <c r="N97" s="83"/>
      <c r="O97" s="83"/>
      <c r="P97" s="83"/>
      <c r="Q97" s="1"/>
      <c r="R97" s="1"/>
      <c r="S97" s="1"/>
      <c r="T97" s="83" t="s">
        <v>65</v>
      </c>
      <c r="U97" s="83"/>
      <c r="V97" s="83"/>
      <c r="W97" s="83"/>
      <c r="X97" s="83"/>
      <c r="Y97" s="83"/>
      <c r="Z97" s="83"/>
      <c r="AA97" s="83"/>
      <c r="AB97" s="83"/>
      <c r="AC97" s="83"/>
      <c r="AD97" s="83"/>
      <c r="AE97" s="1"/>
      <c r="AF97" s="1"/>
      <c r="AG97" s="10"/>
      <c r="AH97" s="10"/>
      <c r="AI97" s="10"/>
      <c r="AJ97" s="176"/>
      <c r="AK97" s="177"/>
      <c r="AL97" s="177"/>
      <c r="AM97" s="177"/>
      <c r="AN97" s="177"/>
      <c r="AO97" s="177"/>
      <c r="AP97" s="177"/>
      <c r="AQ97" s="177"/>
      <c r="AR97" s="177"/>
      <c r="AS97" s="177"/>
      <c r="AT97" s="177"/>
      <c r="AU97" s="177"/>
      <c r="AV97" s="177"/>
      <c r="AW97" s="177"/>
      <c r="AX97" s="177"/>
      <c r="AY97" s="177"/>
      <c r="AZ97" s="177"/>
      <c r="BA97" s="177"/>
      <c r="BB97" s="177"/>
      <c r="BC97" s="177"/>
      <c r="BD97" s="177"/>
      <c r="BE97" s="177"/>
      <c r="BF97" s="177"/>
      <c r="BG97" s="177"/>
      <c r="BH97" s="177"/>
      <c r="BI97" s="177"/>
      <c r="BJ97" s="177"/>
      <c r="BK97" s="177"/>
      <c r="BL97" s="177"/>
      <c r="BM97" s="177"/>
      <c r="BN97" s="177"/>
      <c r="BO97" s="177"/>
    </row>
    <row r="98" spans="1:67" ht="3" customHeight="1" x14ac:dyDescent="0.35">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0"/>
      <c r="AJ98" s="176"/>
      <c r="AK98" s="177"/>
      <c r="AL98" s="177"/>
      <c r="AM98" s="177"/>
      <c r="AN98" s="177"/>
      <c r="AO98" s="177"/>
      <c r="AP98" s="177"/>
      <c r="AQ98" s="177"/>
      <c r="AR98" s="177"/>
      <c r="AS98" s="177"/>
      <c r="AT98" s="177"/>
      <c r="AU98" s="177"/>
      <c r="AV98" s="177"/>
      <c r="AW98" s="177"/>
      <c r="AX98" s="177"/>
      <c r="AY98" s="177"/>
      <c r="AZ98" s="177"/>
      <c r="BA98" s="177"/>
      <c r="BB98" s="177"/>
      <c r="BC98" s="177"/>
      <c r="BD98" s="177"/>
      <c r="BE98" s="177"/>
      <c r="BF98" s="177"/>
      <c r="BG98" s="177"/>
      <c r="BH98" s="177"/>
      <c r="BI98" s="177"/>
      <c r="BJ98" s="177"/>
      <c r="BK98" s="177"/>
      <c r="BL98" s="177"/>
      <c r="BM98" s="177"/>
      <c r="BN98" s="177"/>
      <c r="BO98" s="177"/>
    </row>
    <row r="99" spans="1:67" x14ac:dyDescent="0.35">
      <c r="A99" s="11" t="s">
        <v>66</v>
      </c>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5"/>
      <c r="AI99" s="10"/>
      <c r="AJ99" s="176"/>
      <c r="AK99" s="177"/>
      <c r="AL99" s="177"/>
      <c r="AM99" s="177"/>
      <c r="AN99" s="177"/>
      <c r="AO99" s="177"/>
      <c r="AP99" s="177"/>
      <c r="AQ99" s="177"/>
      <c r="AR99" s="177"/>
      <c r="AS99" s="177"/>
      <c r="AT99" s="177"/>
      <c r="AU99" s="177"/>
      <c r="AV99" s="177"/>
      <c r="AW99" s="177"/>
      <c r="AX99" s="177"/>
      <c r="AY99" s="177"/>
      <c r="AZ99" s="177"/>
      <c r="BA99" s="177"/>
      <c r="BB99" s="177"/>
      <c r="BC99" s="177"/>
      <c r="BD99" s="177"/>
      <c r="BE99" s="177"/>
      <c r="BF99" s="177"/>
      <c r="BG99" s="177"/>
      <c r="BH99" s="177"/>
      <c r="BI99" s="177"/>
      <c r="BJ99" s="177"/>
      <c r="BK99" s="177"/>
      <c r="BL99" s="177"/>
      <c r="BM99" s="177"/>
      <c r="BN99" s="177"/>
      <c r="BO99" s="177"/>
    </row>
    <row r="100" spans="1:67" ht="12" customHeight="1" x14ac:dyDescent="0.35">
      <c r="A100" s="151" t="s">
        <v>67</v>
      </c>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3"/>
      <c r="AI100" s="10"/>
      <c r="AJ100" s="176"/>
      <c r="AK100" s="177"/>
      <c r="AL100" s="177"/>
      <c r="AM100" s="177"/>
      <c r="AN100" s="177"/>
      <c r="AO100" s="177"/>
      <c r="AP100" s="177"/>
      <c r="AQ100" s="177"/>
      <c r="AR100" s="177"/>
      <c r="AS100" s="177"/>
      <c r="AT100" s="177"/>
      <c r="AU100" s="177"/>
      <c r="AV100" s="177"/>
      <c r="AW100" s="177"/>
      <c r="AX100" s="177"/>
      <c r="AY100" s="177"/>
      <c r="AZ100" s="177"/>
      <c r="BA100" s="177"/>
      <c r="BB100" s="177"/>
      <c r="BC100" s="177"/>
      <c r="BD100" s="177"/>
      <c r="BE100" s="177"/>
      <c r="BF100" s="177"/>
      <c r="BG100" s="177"/>
      <c r="BH100" s="177"/>
      <c r="BI100" s="177"/>
      <c r="BJ100" s="177"/>
      <c r="BK100" s="177"/>
      <c r="BL100" s="177"/>
      <c r="BM100" s="177"/>
      <c r="BN100" s="177"/>
      <c r="BO100" s="177"/>
    </row>
    <row r="101" spans="1:67" s="1" customFormat="1" ht="12" customHeight="1" x14ac:dyDescent="0.35">
      <c r="A101" s="151"/>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3"/>
      <c r="AI101" s="10"/>
      <c r="AJ101" s="176"/>
      <c r="AK101" s="177"/>
      <c r="AL101" s="177"/>
      <c r="AM101" s="177"/>
      <c r="AN101" s="177"/>
      <c r="AO101" s="177"/>
      <c r="AP101" s="177"/>
      <c r="AQ101" s="177"/>
      <c r="AR101" s="177"/>
      <c r="AS101" s="177"/>
      <c r="AT101" s="177"/>
      <c r="AU101" s="177"/>
      <c r="AV101" s="177"/>
      <c r="AW101" s="177"/>
      <c r="AX101" s="177"/>
      <c r="AY101" s="177"/>
      <c r="AZ101" s="177"/>
      <c r="BA101" s="177"/>
      <c r="BB101" s="177"/>
      <c r="BC101" s="177"/>
      <c r="BD101" s="177"/>
      <c r="BE101" s="177"/>
      <c r="BF101" s="177"/>
      <c r="BG101" s="177"/>
      <c r="BH101" s="177"/>
      <c r="BI101" s="177"/>
      <c r="BJ101" s="177"/>
      <c r="BK101" s="177"/>
      <c r="BL101" s="177"/>
      <c r="BM101" s="177"/>
      <c r="BN101" s="177"/>
      <c r="BO101" s="177"/>
    </row>
    <row r="102" spans="1:67" s="1" customFormat="1" ht="12" customHeight="1" x14ac:dyDescent="0.35">
      <c r="A102" s="151"/>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3"/>
      <c r="AI102" s="10"/>
      <c r="AJ102" s="176"/>
      <c r="AK102" s="177"/>
      <c r="AL102" s="177"/>
      <c r="AM102" s="177"/>
      <c r="AN102" s="177"/>
      <c r="AO102" s="177"/>
      <c r="AP102" s="177"/>
      <c r="AQ102" s="177"/>
      <c r="AR102" s="177"/>
      <c r="AS102" s="177"/>
      <c r="AT102" s="177"/>
      <c r="AU102" s="177"/>
      <c r="AV102" s="177"/>
      <c r="AW102" s="177"/>
      <c r="AX102" s="177"/>
      <c r="AY102" s="177"/>
      <c r="AZ102" s="177"/>
      <c r="BA102" s="177"/>
      <c r="BB102" s="177"/>
      <c r="BC102" s="177"/>
      <c r="BD102" s="177"/>
      <c r="BE102" s="177"/>
      <c r="BF102" s="177"/>
      <c r="BG102" s="177"/>
      <c r="BH102" s="177"/>
      <c r="BI102" s="177"/>
      <c r="BJ102" s="177"/>
      <c r="BK102" s="177"/>
      <c r="BL102" s="177"/>
      <c r="BM102" s="177"/>
      <c r="BN102" s="177"/>
      <c r="BO102" s="177"/>
    </row>
    <row r="103" spans="1:67" s="1" customFormat="1" ht="12" customHeight="1" x14ac:dyDescent="0.35">
      <c r="A103" s="151"/>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3"/>
      <c r="AI103" s="10"/>
      <c r="AJ103" s="176"/>
      <c r="AK103" s="177"/>
      <c r="AL103" s="177"/>
      <c r="AM103" s="177"/>
      <c r="AN103" s="177"/>
      <c r="AO103" s="177"/>
      <c r="AP103" s="177"/>
      <c r="AQ103" s="177"/>
      <c r="AR103" s="177"/>
      <c r="AS103" s="177"/>
      <c r="AT103" s="177"/>
      <c r="AU103" s="177"/>
      <c r="AV103" s="177"/>
      <c r="AW103" s="177"/>
      <c r="AX103" s="177"/>
      <c r="AY103" s="177"/>
      <c r="AZ103" s="177"/>
      <c r="BA103" s="177"/>
      <c r="BB103" s="177"/>
      <c r="BC103" s="177"/>
      <c r="BD103" s="177"/>
      <c r="BE103" s="177"/>
      <c r="BF103" s="177"/>
      <c r="BG103" s="177"/>
      <c r="BH103" s="177"/>
      <c r="BI103" s="177"/>
      <c r="BJ103" s="177"/>
      <c r="BK103" s="177"/>
      <c r="BL103" s="177"/>
      <c r="BM103" s="177"/>
      <c r="BN103" s="177"/>
      <c r="BO103" s="177"/>
    </row>
    <row r="104" spans="1:67" s="1" customFormat="1" ht="12" customHeight="1" x14ac:dyDescent="0.35">
      <c r="A104" s="151"/>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3"/>
      <c r="AI104" s="10"/>
      <c r="AJ104" s="176"/>
      <c r="AK104" s="177"/>
      <c r="AL104" s="177"/>
      <c r="AM104" s="177"/>
      <c r="AN104" s="177"/>
      <c r="AO104" s="177"/>
      <c r="AP104" s="177"/>
      <c r="AQ104" s="177"/>
      <c r="AR104" s="177"/>
      <c r="AS104" s="177"/>
      <c r="AT104" s="177"/>
      <c r="AU104" s="177"/>
      <c r="AV104" s="177"/>
      <c r="AW104" s="177"/>
      <c r="AX104" s="177"/>
      <c r="AY104" s="177"/>
      <c r="AZ104" s="177"/>
      <c r="BA104" s="177"/>
      <c r="BB104" s="177"/>
      <c r="BC104" s="177"/>
      <c r="BD104" s="177"/>
      <c r="BE104" s="177"/>
      <c r="BF104" s="177"/>
      <c r="BG104" s="177"/>
      <c r="BH104" s="177"/>
      <c r="BI104" s="177"/>
      <c r="BJ104" s="177"/>
      <c r="BK104" s="177"/>
      <c r="BL104" s="177"/>
      <c r="BM104" s="177"/>
      <c r="BN104" s="177"/>
      <c r="BO104" s="177"/>
    </row>
    <row r="105" spans="1:67" s="1" customFormat="1" ht="12" customHeight="1" x14ac:dyDescent="0.35">
      <c r="A105" s="151"/>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3"/>
      <c r="AI105" s="6"/>
      <c r="AJ105" s="176"/>
      <c r="AK105" s="177"/>
      <c r="AL105" s="177"/>
      <c r="AM105" s="177"/>
      <c r="AN105" s="177"/>
      <c r="AO105" s="177"/>
      <c r="AP105" s="177"/>
      <c r="AQ105" s="177"/>
      <c r="AR105" s="177"/>
      <c r="AS105" s="177"/>
      <c r="AT105" s="177"/>
      <c r="AU105" s="177"/>
      <c r="AV105" s="177"/>
      <c r="AW105" s="177"/>
      <c r="AX105" s="177"/>
      <c r="AY105" s="177"/>
      <c r="AZ105" s="177"/>
      <c r="BA105" s="177"/>
      <c r="BB105" s="177"/>
      <c r="BC105" s="177"/>
      <c r="BD105" s="177"/>
      <c r="BE105" s="177"/>
      <c r="BF105" s="177"/>
      <c r="BG105" s="177"/>
      <c r="BH105" s="177"/>
      <c r="BI105" s="177"/>
      <c r="BJ105" s="177"/>
      <c r="BK105" s="177"/>
      <c r="BL105" s="177"/>
      <c r="BM105" s="177"/>
      <c r="BN105" s="177"/>
      <c r="BO105" s="177"/>
    </row>
    <row r="106" spans="1:67" s="1" customFormat="1" ht="12" customHeight="1" x14ac:dyDescent="0.35">
      <c r="A106" s="151"/>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3"/>
      <c r="AJ106" s="176"/>
      <c r="AK106" s="177"/>
      <c r="AL106" s="177"/>
      <c r="AM106" s="177"/>
      <c r="AN106" s="177"/>
      <c r="AO106" s="177"/>
      <c r="AP106" s="177"/>
      <c r="AQ106" s="177"/>
      <c r="AR106" s="177"/>
      <c r="AS106" s="177"/>
      <c r="AT106" s="177"/>
      <c r="AU106" s="177"/>
      <c r="AV106" s="177"/>
      <c r="AW106" s="177"/>
      <c r="AX106" s="177"/>
      <c r="AY106" s="177"/>
      <c r="AZ106" s="177"/>
      <c r="BA106" s="177"/>
      <c r="BB106" s="177"/>
      <c r="BC106" s="177"/>
      <c r="BD106" s="177"/>
      <c r="BE106" s="177"/>
      <c r="BF106" s="177"/>
      <c r="BG106" s="177"/>
      <c r="BH106" s="177"/>
      <c r="BI106" s="177"/>
      <c r="BJ106" s="177"/>
      <c r="BK106" s="177"/>
      <c r="BL106" s="177"/>
      <c r="BM106" s="177"/>
      <c r="BN106" s="177"/>
      <c r="BO106" s="177"/>
    </row>
    <row r="107" spans="1:67" s="1" customFormat="1" ht="12" customHeight="1" x14ac:dyDescent="0.35">
      <c r="A107" s="151"/>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3"/>
      <c r="AJ107" s="176"/>
      <c r="AK107" s="177"/>
      <c r="AL107" s="177"/>
      <c r="AM107" s="177"/>
      <c r="AN107" s="177"/>
      <c r="AO107" s="177"/>
      <c r="AP107" s="177"/>
      <c r="AQ107" s="177"/>
      <c r="AR107" s="177"/>
      <c r="AS107" s="177"/>
      <c r="AT107" s="177"/>
      <c r="AU107" s="177"/>
      <c r="AV107" s="177"/>
      <c r="AW107" s="177"/>
      <c r="AX107" s="177"/>
      <c r="AY107" s="177"/>
      <c r="AZ107" s="177"/>
      <c r="BA107" s="177"/>
      <c r="BB107" s="177"/>
      <c r="BC107" s="177"/>
      <c r="BD107" s="177"/>
      <c r="BE107" s="177"/>
      <c r="BF107" s="177"/>
      <c r="BG107" s="177"/>
      <c r="BH107" s="177"/>
      <c r="BI107" s="177"/>
      <c r="BJ107" s="177"/>
      <c r="BK107" s="177"/>
      <c r="BL107" s="177"/>
      <c r="BM107" s="177"/>
      <c r="BN107" s="177"/>
      <c r="BO107" s="177"/>
    </row>
    <row r="108" spans="1:67" s="1" customFormat="1" ht="12" customHeight="1" x14ac:dyDescent="0.35">
      <c r="A108" s="151"/>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3"/>
      <c r="AJ108" s="176"/>
      <c r="AK108" s="177"/>
      <c r="AL108" s="177"/>
      <c r="AM108" s="177"/>
      <c r="AN108" s="177"/>
      <c r="AO108" s="177"/>
      <c r="AP108" s="177"/>
      <c r="AQ108" s="177"/>
      <c r="AR108" s="177"/>
      <c r="AS108" s="177"/>
      <c r="AT108" s="177"/>
      <c r="AU108" s="177"/>
      <c r="AV108" s="177"/>
      <c r="AW108" s="177"/>
      <c r="AX108" s="177"/>
      <c r="AY108" s="177"/>
      <c r="AZ108" s="177"/>
      <c r="BA108" s="177"/>
      <c r="BB108" s="177"/>
      <c r="BC108" s="177"/>
      <c r="BD108" s="177"/>
      <c r="BE108" s="177"/>
      <c r="BF108" s="177"/>
      <c r="BG108" s="177"/>
      <c r="BH108" s="177"/>
      <c r="BI108" s="177"/>
      <c r="BJ108" s="177"/>
      <c r="BK108" s="177"/>
      <c r="BL108" s="177"/>
      <c r="BM108" s="177"/>
      <c r="BN108" s="177"/>
      <c r="BO108" s="177"/>
    </row>
    <row r="109" spans="1:67" s="1" customFormat="1" ht="3" customHeight="1" x14ac:dyDescent="0.35">
      <c r="A109" s="154"/>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55"/>
      <c r="AG109" s="155"/>
      <c r="AH109" s="156"/>
      <c r="AI109" s="17"/>
      <c r="AJ109" s="176"/>
      <c r="AK109" s="177"/>
      <c r="AL109" s="177"/>
      <c r="AM109" s="177"/>
      <c r="AN109" s="177"/>
      <c r="AO109" s="177"/>
      <c r="AP109" s="177"/>
      <c r="AQ109" s="177"/>
      <c r="AR109" s="177"/>
      <c r="AS109" s="177"/>
      <c r="AT109" s="177"/>
      <c r="AU109" s="177"/>
      <c r="AV109" s="177"/>
      <c r="AW109" s="177"/>
      <c r="AX109" s="177"/>
      <c r="AY109" s="177"/>
      <c r="AZ109" s="177"/>
      <c r="BA109" s="177"/>
      <c r="BB109" s="177"/>
      <c r="BC109" s="177"/>
      <c r="BD109" s="177"/>
      <c r="BE109" s="177"/>
      <c r="BF109" s="177"/>
      <c r="BG109" s="177"/>
      <c r="BH109" s="177"/>
      <c r="BI109" s="177"/>
      <c r="BJ109" s="177"/>
      <c r="BK109" s="177"/>
      <c r="BL109" s="177"/>
      <c r="BM109" s="177"/>
      <c r="BN109" s="177"/>
      <c r="BO109" s="177"/>
    </row>
    <row r="110" spans="1:67" s="1" customFormat="1" ht="3" customHeight="1" x14ac:dyDescent="0.3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s="1" customFormat="1" x14ac:dyDescent="0.35">
      <c r="A111" s="178" t="s">
        <v>68</v>
      </c>
      <c r="B111" s="178"/>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c r="AD111" s="178"/>
      <c r="AE111" s="178"/>
      <c r="AF111" s="178"/>
      <c r="AG111" s="178"/>
      <c r="AH111" s="178"/>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row>
    <row r="112" spans="1:67" ht="13" customHeight="1" x14ac:dyDescent="0.35">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c r="AH112" s="179"/>
    </row>
    <row r="113" spans="1:34" ht="13" customHeight="1" x14ac:dyDescent="0.35">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c r="AH113" s="179"/>
    </row>
    <row r="114" spans="1:34" x14ac:dyDescent="0.35">
      <c r="A114" s="67" t="s">
        <v>69</v>
      </c>
      <c r="B114" s="67"/>
      <c r="C114" s="67"/>
      <c r="D114" s="67"/>
      <c r="E114" s="67"/>
      <c r="F114" s="67"/>
      <c r="G114" s="67"/>
      <c r="H114" s="67"/>
      <c r="I114" s="67"/>
      <c r="J114" s="180"/>
      <c r="K114" s="180"/>
      <c r="L114" s="180"/>
      <c r="M114" s="180"/>
      <c r="N114" s="180"/>
      <c r="O114" s="180"/>
    </row>
    <row r="116" spans="1:34" ht="1.5" customHeight="1" x14ac:dyDescent="0.35"/>
  </sheetData>
  <sheetProtection formatCells="0" selectLockedCells="1"/>
  <customSheetViews>
    <customSheetView guid="{10225561-8BCB-4AAB-A96B-034D76D8C0EB}" scale="85" showPageBreaks="1" showGridLines="0" view="pageBreakPreview">
      <selection activeCell="I15" sqref="I15:AS15"/>
      <pageMargins left="0" right="0" top="0" bottom="0" header="0" footer="0"/>
      <pageSetup paperSize="5" scale="59" orientation="portrait" horizontalDpi="4294967293" verticalDpi="4294967292" r:id="rId1"/>
    </customSheetView>
  </customSheetViews>
  <mergeCells count="346">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469" yWindow="502"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81:H84 A38:H41 A11:H22 A54:H65" xr:uid="{00000000-0002-0000-0100-000004000000}">
      <formula1>"Core,Applied,Specialized,Other_Subjects"</formula1>
    </dataValidation>
  </dataValidations>
  <printOptions horizontalCentered="1"/>
  <pageMargins left="0.23622047244094491" right="0.23622047244094491" top="0.23622047244094491" bottom="0" header="0" footer="0"/>
  <pageSetup paperSize="5" scale="59" orientation="portrait" horizontalDpi="4294967293" verticalDpi="4294967292" r:id="rId2"/>
  <extLst>
    <ext xmlns:x14="http://schemas.microsoft.com/office/spreadsheetml/2009/9/main" uri="{CCE6A557-97BC-4b89-ADB6-D9C93CAAB3DF}">
      <x14:dataValidations xmlns:xm="http://schemas.microsoft.com/office/excel/2006/main" xWindow="469" yWindow="502" count="5">
        <x14:dataValidation type="list" allowBlank="1" showInputMessage="1" showErrorMessage="1" xr:uid="{E883C43D-BAAD-4FB2-B509-990D42BDD07B}">
          <x14:formula1>
            <xm:f>#REF!</xm:f>
          </x14:formula1>
          <xm:sqref>BP4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3203125" defaultRowHeight="15.5" x14ac:dyDescent="0.35"/>
  <cols>
    <col min="1" max="1" width="1.5" style="6" bestFit="1" customWidth="1"/>
    <col min="2" max="2" width="8.83203125" style="6"/>
    <col min="3" max="3" width="34" style="6" customWidth="1"/>
    <col min="4" max="4" width="32.5" style="6" customWidth="1"/>
    <col min="5" max="5" width="19.33203125" style="6" customWidth="1"/>
    <col min="6" max="6" width="12.5" style="6" bestFit="1" customWidth="1"/>
    <col min="7" max="16384" width="8.83203125" style="6"/>
  </cols>
  <sheetData>
    <row r="1" spans="1:13" x14ac:dyDescent="0.35">
      <c r="A1" s="1"/>
      <c r="B1" s="129" t="s">
        <v>96</v>
      </c>
      <c r="C1" s="129"/>
      <c r="D1" s="129"/>
      <c r="E1" s="129"/>
    </row>
    <row r="2" spans="1:13" x14ac:dyDescent="0.35">
      <c r="A2" s="1"/>
      <c r="B2" s="184" t="s">
        <v>97</v>
      </c>
      <c r="C2" s="184"/>
      <c r="D2" s="184"/>
      <c r="E2" s="184"/>
    </row>
    <row r="3" spans="1:13" hidden="1" x14ac:dyDescent="0.35">
      <c r="A3" s="1"/>
      <c r="B3" s="6" t="s">
        <v>98</v>
      </c>
      <c r="C3" s="6" t="s">
        <v>93</v>
      </c>
      <c r="D3" s="6" t="s">
        <v>95</v>
      </c>
      <c r="E3" s="6" t="s">
        <v>94</v>
      </c>
      <c r="F3" s="6" t="s">
        <v>99</v>
      </c>
    </row>
    <row r="4" spans="1:13" hidden="1" x14ac:dyDescent="0.35">
      <c r="A4" s="182">
        <v>1</v>
      </c>
      <c r="B4" s="18" t="b">
        <f>IF('SF10 FRONT'!A31="Core","Core",IF('SF10 FRONT'!A31="Applied","Applied",IF('SF10 FRONT'!A31="Specialized","Specialized",IF('SF10 FRONT'!A31="Other_Subjects","Other_Subjects"))))</f>
        <v>0</v>
      </c>
      <c r="C4" s="19" t="s">
        <v>74</v>
      </c>
      <c r="D4" s="18" t="s">
        <v>89</v>
      </c>
      <c r="E4" s="12" t="e">
        <f>IF(#REF!="","",#REF!)</f>
        <v>#REF!</v>
      </c>
      <c r="F4" s="18" t="e">
        <f>IF(#REF!="","",#REF!)</f>
        <v>#REF!</v>
      </c>
    </row>
    <row r="5" spans="1:13" hidden="1" x14ac:dyDescent="0.35">
      <c r="A5" s="182"/>
      <c r="B5" s="20" t="b">
        <f>IF('SF10 FRONT'!A32="Core","Core",IF('SF10 FRONT'!A32="Applied","Applied",IF('SF10 FRONT'!A32="Specialized","Specialized",IF('SF10 FRONT'!A32="Other_Subjects","Other_Subjects"))))</f>
        <v>0</v>
      </c>
      <c r="C5" s="21" t="s">
        <v>2</v>
      </c>
      <c r="D5" s="20" t="s">
        <v>85</v>
      </c>
      <c r="E5" s="6" t="e">
        <f>IF(#REF!="","",#REF!)</f>
        <v>#REF!</v>
      </c>
      <c r="F5" s="20" t="e">
        <f>IF(#REF!="","",#REF!)</f>
        <v>#REF!</v>
      </c>
    </row>
    <row r="6" spans="1:13" hidden="1" x14ac:dyDescent="0.35">
      <c r="A6" s="182"/>
      <c r="B6" s="20" t="b">
        <f>IF('SF10 FRONT'!A33="Core","Core",IF('SF10 FRONT'!A33="Applied","Applied",IF('SF10 FRONT'!A33="Specialized","Specialized",IF('SF10 FRONT'!A33="Other_Subjects","Other_Subjects"))))</f>
        <v>0</v>
      </c>
      <c r="C6" s="21" t="s">
        <v>84</v>
      </c>
      <c r="D6" s="20" t="s">
        <v>90</v>
      </c>
      <c r="E6" s="6" t="e">
        <f>IF(#REF!="","",#REF!)</f>
        <v>#REF!</v>
      </c>
      <c r="F6" s="22" t="e">
        <f>IF(#REF!="","",#REF!)</f>
        <v>#REF!</v>
      </c>
      <c r="J6" s="1" t="s">
        <v>100</v>
      </c>
      <c r="K6" s="1"/>
      <c r="L6" s="1"/>
      <c r="M6" s="1" t="s">
        <v>92</v>
      </c>
    </row>
    <row r="7" spans="1:13" hidden="1" x14ac:dyDescent="0.35">
      <c r="A7" s="182"/>
      <c r="B7" s="20" t="b">
        <f>IF('SF10 FRONT'!A34="Core","Core",IF('SF10 FRONT'!A34="Applied","Applied",IF('SF10 FRONT'!A34="Specialized","Specialized",IF('SF10 FRONT'!A34="Other_Subjects","Other_Subjects"))))</f>
        <v>0</v>
      </c>
      <c r="C7" s="21" t="s">
        <v>78</v>
      </c>
      <c r="D7" s="20" t="s">
        <v>88</v>
      </c>
      <c r="E7" s="16" t="e">
        <f>IF(#REF!="","",#REF!)</f>
        <v>#REF!</v>
      </c>
      <c r="I7" s="182">
        <v>1</v>
      </c>
      <c r="J7" s="1" t="str">
        <f>'SF10 FRONT'!I31</f>
        <v/>
      </c>
      <c r="K7" s="1" t="str">
        <f>'SF10 FRONT'!BI31</f>
        <v/>
      </c>
      <c r="L7" s="1" t="str">
        <f>IF(K7="PASSED","∕","")</f>
        <v/>
      </c>
      <c r="M7" s="37" t="str">
        <f t="array" ref="M7">IFERROR(INDEX('SF10 FRONT'!I31:BI42,MATCH(1,('SF10 FRONT'!I31:I42=$M$6)*('SF10 FRONT'!BI31:BI42=$J$6),0),53),"")</f>
        <v/>
      </c>
    </row>
    <row r="8" spans="1:13" hidden="1" x14ac:dyDescent="0.35">
      <c r="A8" s="182"/>
      <c r="B8" s="20" t="b">
        <f>IF('SF10 FRONT'!A35="Core","Core",IF('SF10 FRONT'!A35="Applied","Applied",IF('SF10 FRONT'!A35="Specialized","Specialized",IF('SF10 FRONT'!A35="Other_Subjects","Other_Subjects"))))</f>
        <v>0</v>
      </c>
      <c r="C8" s="21" t="s">
        <v>83</v>
      </c>
      <c r="D8" s="20" t="s">
        <v>91</v>
      </c>
      <c r="E8" s="16" t="e">
        <f>IF(#REF!="","",#REF!)</f>
        <v>#REF!</v>
      </c>
      <c r="I8" s="182"/>
      <c r="J8" s="1" t="str">
        <f>'SF10 FRONT'!I32</f>
        <v/>
      </c>
      <c r="K8" s="1" t="str">
        <f>'SF10 FRONT'!BI32</f>
        <v/>
      </c>
      <c r="L8" s="1" t="str">
        <f t="shared" ref="L8:L71" si="0">IF(K8="PASSED","∕","")</f>
        <v/>
      </c>
      <c r="M8" s="37" t="str">
        <f t="array" ref="M8">IFERROR(INDEX('SF10 FRONT'!I58:BI61,MATCH(1,('SF10 FRONT'!I58:I61=$M$6)*('SF10 FRONT'!BI58:BI61=$J$6),0),53),"")</f>
        <v/>
      </c>
    </row>
    <row r="9" spans="1:13" hidden="1" x14ac:dyDescent="0.35">
      <c r="A9" s="182"/>
      <c r="B9" s="20" t="b">
        <f>IF('SF10 FRONT'!A36="Core","Core",IF('SF10 FRONT'!A36="Applied","Applied",IF('SF10 FRONT'!A36="Specialized","Specialized",IF('SF10 FRONT'!A36="Other_Subjects","Other_Subjects"))))</f>
        <v>0</v>
      </c>
      <c r="C9" s="21" t="s">
        <v>76</v>
      </c>
      <c r="D9" s="20" t="s">
        <v>86</v>
      </c>
      <c r="E9" s="16" t="e">
        <f>IF(#REF!="","",#REF!)</f>
        <v>#REF!</v>
      </c>
      <c r="I9" s="182"/>
      <c r="J9" s="1" t="str">
        <f>'SF10 FRONT'!I33</f>
        <v/>
      </c>
      <c r="K9" s="1" t="str">
        <f>'SF10 FRONT'!BI33</f>
        <v/>
      </c>
      <c r="L9" s="1" t="str">
        <f t="shared" si="0"/>
        <v/>
      </c>
      <c r="M9" s="37" t="str">
        <f t="array" ref="M9">IFERROR(INDEX('SF10 FRONT'!I74:BI85,MATCH(1,('SF10 FRONT'!I74:I85=$M$6)*('SF10 FRONT'!BI74:BI85=$J$6),0),53),"")</f>
        <v/>
      </c>
    </row>
    <row r="10" spans="1:13" hidden="1" x14ac:dyDescent="0.35">
      <c r="A10" s="182"/>
      <c r="B10" s="20" t="b">
        <f>IF('SF10 FRONT'!A37="Core","Core",IF('SF10 FRONT'!A37="Applied","Applied",IF('SF10 FRONT'!A37="Specialized","Specialized",IF('SF10 FRONT'!A37="Other_Subjects","Other_Subjects"))))</f>
        <v>0</v>
      </c>
      <c r="C10" s="21" t="s">
        <v>82</v>
      </c>
      <c r="D10" s="20" t="s">
        <v>87</v>
      </c>
      <c r="E10" s="16" t="e">
        <f>IF(#REF!="","",#REF!)</f>
        <v>#REF!</v>
      </c>
      <c r="I10" s="182"/>
      <c r="J10" s="1" t="str">
        <f>'SF10 FRONT'!I34</f>
        <v/>
      </c>
      <c r="K10" s="1" t="str">
        <f>'SF10 FRONT'!BI34</f>
        <v/>
      </c>
      <c r="L10" s="1" t="str">
        <f t="shared" si="0"/>
        <v/>
      </c>
      <c r="M10" s="37" t="str">
        <f t="array" ref="M10">IFERROR(INDEX('SF10 FRONT'!I101:BI104,MATCH(1,('SF10 FRONT'!I101:I104=$M$6)*('SF10 FRONT'!BI101:BI104=$J$6),0),53),"")</f>
        <v/>
      </c>
    </row>
    <row r="11" spans="1:13" hidden="1" x14ac:dyDescent="0.35">
      <c r="A11" s="182"/>
      <c r="B11" s="20" t="b">
        <f>IF('SF10 FRONT'!A38="Core","Core",IF('SF10 FRONT'!A38="Applied","Applied",IF('SF10 FRONT'!A38="Specialized","Specialized",IF('SF10 FRONT'!A38="Other_Subjects","Other_Subjects"))))</f>
        <v>0</v>
      </c>
      <c r="C11" s="21" t="s">
        <v>72</v>
      </c>
      <c r="D11" s="22"/>
      <c r="E11" s="16" t="e">
        <f>IF(#REF!="","",#REF!)</f>
        <v>#REF!</v>
      </c>
      <c r="I11" s="182"/>
      <c r="J11" s="1" t="str">
        <f>'SF10 FRONT'!I35</f>
        <v/>
      </c>
      <c r="K11" s="1" t="str">
        <f>'SF10 FRONT'!BI35</f>
        <v/>
      </c>
      <c r="L11" s="1" t="str">
        <f t="shared" si="0"/>
        <v/>
      </c>
      <c r="M11" s="37" t="str">
        <f t="array" ref="M11">IFERROR(INDEX('SF10 BACK'!I11:BI22,MATCH(1,('SF10 BACK'!I11:I22=$M$6)*('SF10 BACK'!BI11:BI22=$J$6),0),53),"")</f>
        <v/>
      </c>
    </row>
    <row r="12" spans="1:13" hidden="1" x14ac:dyDescent="0.35">
      <c r="A12" s="182"/>
      <c r="B12" s="20" t="b">
        <f>IF('SF10 FRONT'!A39="Core","Core",IF('SF10 FRONT'!A39="Applied","Applied",IF('SF10 FRONT'!A39="Specialized","Specialized",IF('SF10 FRONT'!A39="Other_Subjects","Other_Subjects"))))</f>
        <v>0</v>
      </c>
      <c r="C12" s="21" t="s">
        <v>75</v>
      </c>
      <c r="E12" s="23" t="e">
        <f>IF(#REF!="","",#REF!)</f>
        <v>#REF!</v>
      </c>
      <c r="I12" s="182"/>
      <c r="J12" s="1" t="str">
        <f>'SF10 FRONT'!I36</f>
        <v/>
      </c>
      <c r="K12" s="1" t="str">
        <f>'SF10 FRONT'!BI36</f>
        <v/>
      </c>
      <c r="L12" s="1" t="str">
        <f t="shared" si="0"/>
        <v/>
      </c>
      <c r="M12" s="37" t="str">
        <f t="array" ref="M12">IFERROR(INDEX('SF10 BACK'!I38:BI41,MATCH(1,('SF10 BACK'!I38:I41=$M$6)*('SF10 BACK'!BI38:BI41=$J$6),0),53),"")</f>
        <v/>
      </c>
    </row>
    <row r="13" spans="1:13" hidden="1" x14ac:dyDescent="0.35">
      <c r="A13" s="182"/>
      <c r="B13" s="20" t="b">
        <f>IF('SF10 FRONT'!A40="Core","Core",IF('SF10 FRONT'!A40="Applied","Applied",IF('SF10 FRONT'!A40="Specialized","Specialized",IF('SF10 FRONT'!A40="Other_Subjects","Other_Subjects"))))</f>
        <v>0</v>
      </c>
      <c r="C13" s="20" t="s">
        <v>70</v>
      </c>
      <c r="I13" s="182"/>
      <c r="J13" s="1" t="str">
        <f>'SF10 FRONT'!I37</f>
        <v/>
      </c>
      <c r="K13" s="1" t="str">
        <f>'SF10 FRONT'!BI37</f>
        <v/>
      </c>
      <c r="L13" s="1" t="str">
        <f t="shared" si="0"/>
        <v/>
      </c>
      <c r="M13" s="37" t="str">
        <f t="array" ref="M13">IFERROR(INDEX('SF10 BACK'!I54:BI65,MATCH(1,('SF10 BACK'!I54:I65=$M$6)*('SF10 BACK'!BI54:BI65=$J$6),0),53),"")</f>
        <v/>
      </c>
    </row>
    <row r="14" spans="1:13" hidden="1" x14ac:dyDescent="0.35">
      <c r="A14" s="182"/>
      <c r="B14" s="20" t="b">
        <f>IF('SF10 FRONT'!A41="Core","Core",IF('SF10 FRONT'!A41="Applied","Applied",IF('SF10 FRONT'!A41="Specialized","Specialized",IF('SF10 FRONT'!A41="Other_Subjects","Other_Subjects"))))</f>
        <v>0</v>
      </c>
      <c r="C14" s="20" t="s">
        <v>73</v>
      </c>
      <c r="I14" s="182"/>
      <c r="J14" s="1" t="str">
        <f>'SF10 FRONT'!I38</f>
        <v/>
      </c>
      <c r="K14" s="1" t="str">
        <f>'SF10 FRONT'!BI38</f>
        <v/>
      </c>
      <c r="L14" s="1" t="str">
        <f t="shared" si="0"/>
        <v/>
      </c>
      <c r="M14" s="37" t="str">
        <f t="array" ref="M14">IFERROR(INDEX('SF10 BACK'!I81:BI84,MATCH(1,('SF10 BACK'!I81:I84=$M$6)*('SF10 BACK'!BI81:BI84=$J$6),0),53),"")</f>
        <v/>
      </c>
    </row>
    <row r="15" spans="1:13" hidden="1" x14ac:dyDescent="0.35">
      <c r="A15" s="182"/>
      <c r="B15" s="20" t="b">
        <f>IF('SF10 FRONT'!A42="Core","Core",IF('SF10 FRONT'!A42="Applied","Applied",IF('SF10 FRONT'!A42="Specialized","Specialized",IF('SF10 FRONT'!A42="Other_Subjects","Other_Subjects"))))</f>
        <v>0</v>
      </c>
      <c r="C15" s="20" t="s">
        <v>80</v>
      </c>
      <c r="I15" s="182"/>
      <c r="J15" s="1" t="str">
        <f>'SF10 FRONT'!I39</f>
        <v/>
      </c>
      <c r="K15" s="1" t="str">
        <f>'SF10 FRONT'!BI39</f>
        <v/>
      </c>
      <c r="L15" s="1" t="str">
        <f t="shared" si="0"/>
        <v/>
      </c>
      <c r="M15" s="1"/>
    </row>
    <row r="16" spans="1:13" hidden="1" x14ac:dyDescent="0.35">
      <c r="A16" s="182">
        <v>2</v>
      </c>
      <c r="B16" s="18" t="b">
        <f>IF('SF10 FRONT'!A58="Core","Core",IF('SF10 FRONT'!A58="Applied","Applied",IF('SF10 FRONT'!A58="Specialized","Specialized",IF('SF10 FRONT'!A58="Other_Subjects","Other_Subjects"))))</f>
        <v>0</v>
      </c>
      <c r="C16" s="20" t="s">
        <v>92</v>
      </c>
      <c r="I16" s="182"/>
      <c r="J16" s="1" t="str">
        <f>'SF10 FRONT'!I40</f>
        <v/>
      </c>
      <c r="K16" s="1" t="str">
        <f>'SF10 FRONT'!BI40</f>
        <v/>
      </c>
      <c r="L16" s="1" t="str">
        <f t="shared" si="0"/>
        <v/>
      </c>
      <c r="M16" s="1"/>
    </row>
    <row r="17" spans="1:13" hidden="1" x14ac:dyDescent="0.35">
      <c r="A17" s="182"/>
      <c r="B17" s="20" t="b">
        <f>IF('SF10 FRONT'!A59="Core","Core",IF('SF10 FRONT'!A59="Applied","Applied",IF('SF10 FRONT'!A59="Specialized","Specialized",IF('SF10 FRONT'!A59="Other_Subjects","Other_Subjects"))))</f>
        <v>0</v>
      </c>
      <c r="C17" s="20" t="s">
        <v>79</v>
      </c>
      <c r="I17" s="182"/>
      <c r="J17" s="1" t="str">
        <f>'SF10 FRONT'!I41</f>
        <v/>
      </c>
      <c r="K17" s="1" t="str">
        <f>'SF10 FRONT'!BI41</f>
        <v/>
      </c>
      <c r="L17" s="1" t="str">
        <f t="shared" si="0"/>
        <v/>
      </c>
      <c r="M17" s="1"/>
    </row>
    <row r="18" spans="1:13" hidden="1" x14ac:dyDescent="0.35">
      <c r="A18" s="182"/>
      <c r="B18" s="20" t="e">
        <f>IF('SF10 FRONT'!#REF!="Core","Core",IF('SF10 FRONT'!#REF!="Applied","Applied",IF('SF10 FRONT'!#REF!="Specialized","Specialized",IF('SF10 FRONT'!#REF!="Other_Subjects","Other_Subjects"))))</f>
        <v>#REF!</v>
      </c>
      <c r="C18" s="20" t="s">
        <v>71</v>
      </c>
      <c r="I18" s="182"/>
      <c r="J18" s="1" t="str">
        <f>'SF10 FRONT'!I42</f>
        <v/>
      </c>
      <c r="K18" s="1" t="str">
        <f>'SF10 FRONT'!BI42</f>
        <v/>
      </c>
      <c r="L18" s="1" t="str">
        <f t="shared" si="0"/>
        <v/>
      </c>
      <c r="M18" s="1"/>
    </row>
    <row r="19" spans="1:13" hidden="1" x14ac:dyDescent="0.35">
      <c r="A19" s="182"/>
      <c r="B19" s="20" t="e">
        <f>IF('SF10 FRONT'!#REF!="Core","Core",IF('SF10 FRONT'!#REF!="Applied","Applied",IF('SF10 FRONT'!#REF!="Specialized","Specialized",IF('SF10 FRONT'!#REF!="Other_Subjects","Other_Subjects"))))</f>
        <v>#REF!</v>
      </c>
      <c r="C19" s="20" t="s">
        <v>77</v>
      </c>
      <c r="I19" s="183">
        <v>2</v>
      </c>
      <c r="J19" s="1">
        <f>'SF10 FRONT'!I58</f>
        <v>0</v>
      </c>
      <c r="K19" s="1" t="str">
        <f>'SF10 FRONT'!BI58</f>
        <v/>
      </c>
      <c r="L19" s="1" t="str">
        <f t="shared" si="0"/>
        <v/>
      </c>
      <c r="M19" s="1"/>
    </row>
    <row r="20" spans="1:13" hidden="1" x14ac:dyDescent="0.35">
      <c r="A20" s="182"/>
      <c r="B20" s="20" t="e">
        <f>IF('SF10 FRONT'!#REF!="Core","Core",IF('SF10 FRONT'!#REF!="Applied","Applied",IF('SF10 FRONT'!#REF!="Specialized","Specialized",IF('SF10 FRONT'!#REF!="Other_Subjects","Other_Subjects"))))</f>
        <v>#REF!</v>
      </c>
      <c r="C20" s="20" t="s">
        <v>81</v>
      </c>
      <c r="I20" s="183"/>
      <c r="J20" s="1">
        <f>'SF10 FRONT'!I59</f>
        <v>0</v>
      </c>
      <c r="K20" s="1" t="str">
        <f>'SF10 FRONT'!BI59</f>
        <v/>
      </c>
      <c r="L20" s="1" t="str">
        <f t="shared" si="0"/>
        <v/>
      </c>
      <c r="M20" s="1"/>
    </row>
    <row r="21" spans="1:13" hidden="1" x14ac:dyDescent="0.35">
      <c r="A21" s="182"/>
      <c r="B21" s="20" t="e">
        <f>IF('SF10 FRONT'!#REF!="Core","Core",IF('SF10 FRONT'!#REF!="Applied","Applied",IF('SF10 FRONT'!#REF!="Specialized","Specialized",IF('SF10 FRONT'!#REF!="Other_Subjects","Other_Subjects"))))</f>
        <v>#REF!</v>
      </c>
      <c r="C21" s="24" t="e">
        <f>IF(#REF!="","",#REF!)</f>
        <v>#REF!</v>
      </c>
      <c r="D21" s="1"/>
      <c r="E21" s="1"/>
      <c r="I21" s="183"/>
      <c r="J21" s="1" t="e">
        <f>'SF10 FRONT'!#REF!</f>
        <v>#REF!</v>
      </c>
      <c r="K21" s="1" t="e">
        <f>'SF10 FRONT'!#REF!</f>
        <v>#REF!</v>
      </c>
      <c r="L21" s="1" t="e">
        <f t="shared" si="0"/>
        <v>#REF!</v>
      </c>
      <c r="M21" s="1"/>
    </row>
    <row r="22" spans="1:13" hidden="1" x14ac:dyDescent="0.35">
      <c r="A22" s="182"/>
      <c r="B22" s="20" t="b">
        <f>IF('SF10 FRONT'!A60="Core","Core",IF('SF10 FRONT'!A60="Applied","Applied",IF('SF10 FRONT'!A60="Specialized","Specialized",IF('SF10 FRONT'!A60="Other_Subjects","Other_Subjects"))))</f>
        <v>0</v>
      </c>
      <c r="C22" s="25" t="e">
        <f>IF(#REF!="","",#REF!)</f>
        <v>#REF!</v>
      </c>
      <c r="D22" s="1"/>
      <c r="E22" s="1"/>
      <c r="I22" s="183"/>
      <c r="J22" s="1" t="e">
        <f>'SF10 FRONT'!#REF!</f>
        <v>#REF!</v>
      </c>
      <c r="K22" s="1" t="e">
        <f>'SF10 FRONT'!#REF!</f>
        <v>#REF!</v>
      </c>
      <c r="L22" s="1" t="e">
        <f t="shared" si="0"/>
        <v>#REF!</v>
      </c>
      <c r="M22" s="1"/>
    </row>
    <row r="23" spans="1:13" hidden="1" x14ac:dyDescent="0.35">
      <c r="A23" s="182"/>
      <c r="B23" s="20" t="b">
        <f>IF('SF10 FRONT'!A61="Core","Core",IF('SF10 FRONT'!A61="Applied","Applied",IF('SF10 FRONT'!A61="Specialized","Specialized",IF('SF10 FRONT'!A61="Other_Subjects","Other_Subjects"))))</f>
        <v>0</v>
      </c>
      <c r="C23" s="1"/>
      <c r="D23" s="1"/>
      <c r="E23" s="1"/>
      <c r="I23" s="183"/>
      <c r="J23" s="1" t="e">
        <f>'SF10 FRONT'!#REF!</f>
        <v>#REF!</v>
      </c>
      <c r="K23" s="1" t="e">
        <f>'SF10 FRONT'!#REF!</f>
        <v>#REF!</v>
      </c>
      <c r="L23" s="1" t="e">
        <f t="shared" si="0"/>
        <v>#REF!</v>
      </c>
      <c r="M23" s="1"/>
    </row>
    <row r="24" spans="1:13" hidden="1" x14ac:dyDescent="0.35">
      <c r="A24" s="182"/>
      <c r="B24" s="20" t="b">
        <f>IF('SF10 FRONT'!A62="Core","Core",IF('SF10 FRONT'!A62="Applied","Applied",IF('SF10 FRONT'!A62="Specialized","Specialized",IF('SF10 FRONT'!A62="Other_Subjects","Other_Subjects"))))</f>
        <v>0</v>
      </c>
      <c r="C24" s="1"/>
      <c r="D24" s="1"/>
      <c r="E24" s="1"/>
      <c r="I24" s="183"/>
      <c r="J24" s="1" t="e">
        <f>'SF10 FRONT'!#REF!</f>
        <v>#REF!</v>
      </c>
      <c r="K24" s="1" t="e">
        <f>'SF10 FRONT'!#REF!</f>
        <v>#REF!</v>
      </c>
      <c r="L24" s="1" t="e">
        <f t="shared" si="0"/>
        <v>#REF!</v>
      </c>
      <c r="M24" s="1"/>
    </row>
    <row r="25" spans="1:13" hidden="1" x14ac:dyDescent="0.35">
      <c r="A25" s="182"/>
      <c r="B25" s="20" t="b">
        <f>IF('SF10 FRONT'!A63="Core","Core",IF('SF10 FRONT'!A63="Applied","Applied",IF('SF10 FRONT'!A63="Specialized","Specialized",IF('SF10 FRONT'!A63="Other_Subjects","Other_Subjects"))))</f>
        <v>0</v>
      </c>
      <c r="C25" s="1"/>
      <c r="D25" s="1"/>
      <c r="E25" s="1"/>
      <c r="I25" s="183"/>
      <c r="J25" s="1">
        <f>'SF10 FRONT'!I60</f>
        <v>0</v>
      </c>
      <c r="K25" s="1" t="str">
        <f>'SF10 FRONT'!BI60</f>
        <v/>
      </c>
      <c r="L25" s="1" t="str">
        <f t="shared" si="0"/>
        <v/>
      </c>
      <c r="M25" s="1"/>
    </row>
    <row r="26" spans="1:13" hidden="1" x14ac:dyDescent="0.35">
      <c r="A26" s="182"/>
      <c r="B26" s="20" t="b">
        <f>IF('SF10 FRONT'!A64="Core","Core",IF('SF10 FRONT'!A64="Applied","Applied",IF('SF10 FRONT'!A64="Specialized","Specialized",IF('SF10 FRONT'!A64="Other_Subjects","Other_Subjects"))))</f>
        <v>0</v>
      </c>
      <c r="C26" s="1"/>
      <c r="D26" s="1"/>
      <c r="E26" s="1"/>
      <c r="I26" s="183"/>
      <c r="J26" s="1">
        <f>'SF10 FRONT'!I61</f>
        <v>0</v>
      </c>
      <c r="K26" s="1" t="str">
        <f>'SF10 FRONT'!BI61</f>
        <v/>
      </c>
      <c r="L26" s="1" t="str">
        <f t="shared" si="0"/>
        <v/>
      </c>
      <c r="M26" s="1"/>
    </row>
    <row r="27" spans="1:13" hidden="1" x14ac:dyDescent="0.35">
      <c r="A27" s="182"/>
      <c r="B27" s="20" t="b">
        <f>IF('SF10 FRONT'!A65="Core","Core",IF('SF10 FRONT'!A65="Applied","Applied",IF('SF10 FRONT'!A65="Specialized","Specialized",IF('SF10 FRONT'!A65="Other_Subjects","Other_Subjects"))))</f>
        <v>0</v>
      </c>
      <c r="C27" s="1"/>
      <c r="D27" s="1"/>
      <c r="E27" s="1"/>
      <c r="I27" s="182">
        <v>3</v>
      </c>
      <c r="J27" s="1" t="str">
        <f>'SF10 FRONT'!I74</f>
        <v/>
      </c>
      <c r="K27" s="1" t="str">
        <f>'SF10 FRONT'!BI74</f>
        <v/>
      </c>
      <c r="L27" s="1" t="str">
        <f t="shared" si="0"/>
        <v/>
      </c>
      <c r="M27" s="1"/>
    </row>
    <row r="28" spans="1:13" hidden="1" x14ac:dyDescent="0.35">
      <c r="A28" s="182">
        <v>3</v>
      </c>
      <c r="B28" s="18" t="b">
        <f>IF('SF10 FRONT'!A74="Core","Core",IF('SF10 FRONT'!A74="Applied","Applied",IF('SF10 FRONT'!A74="Specialized","Specialized",IF('SF10 FRONT'!A74="Other_Subjects","Other_Subjects"))))</f>
        <v>0</v>
      </c>
      <c r="C28" s="1"/>
      <c r="D28" s="1"/>
      <c r="E28" s="1"/>
      <c r="I28" s="182"/>
      <c r="J28" s="1" t="str">
        <f>'SF10 FRONT'!I75</f>
        <v/>
      </c>
      <c r="K28" s="1" t="str">
        <f>'SF10 FRONT'!BI75</f>
        <v/>
      </c>
      <c r="L28" s="1" t="str">
        <f t="shared" si="0"/>
        <v/>
      </c>
      <c r="M28" s="1"/>
    </row>
    <row r="29" spans="1:13" hidden="1" x14ac:dyDescent="0.35">
      <c r="A29" s="182"/>
      <c r="B29" s="20" t="b">
        <f>IF('SF10 FRONT'!A75="Core","Core",IF('SF10 FRONT'!A75="Applied","Applied",IF('SF10 FRONT'!A75="Specialized","Specialized",IF('SF10 FRONT'!A75="Other_Subjects","Other_Subjects"))))</f>
        <v>0</v>
      </c>
      <c r="C29" s="1"/>
      <c r="D29" s="1"/>
      <c r="E29" s="1"/>
      <c r="I29" s="182"/>
      <c r="J29" s="1" t="str">
        <f>'SF10 FRONT'!I76</f>
        <v/>
      </c>
      <c r="K29" s="1" t="str">
        <f>'SF10 FRONT'!BI76</f>
        <v/>
      </c>
      <c r="L29" s="1" t="str">
        <f t="shared" si="0"/>
        <v/>
      </c>
      <c r="M29" s="1"/>
    </row>
    <row r="30" spans="1:13" hidden="1" x14ac:dyDescent="0.35">
      <c r="A30" s="182"/>
      <c r="B30" s="20" t="b">
        <f>IF('SF10 FRONT'!A76="Core","Core",IF('SF10 FRONT'!A76="Applied","Applied",IF('SF10 FRONT'!A76="Specialized","Specialized",IF('SF10 FRONT'!A76="Other_Subjects","Other_Subjects"))))</f>
        <v>0</v>
      </c>
      <c r="C30" s="1"/>
      <c r="D30" s="1"/>
      <c r="E30" s="1"/>
      <c r="I30" s="182"/>
      <c r="J30" s="1" t="str">
        <f>'SF10 FRONT'!I77</f>
        <v/>
      </c>
      <c r="K30" s="1" t="str">
        <f>'SF10 FRONT'!BI77</f>
        <v/>
      </c>
      <c r="L30" s="1" t="str">
        <f t="shared" si="0"/>
        <v/>
      </c>
      <c r="M30" s="1"/>
    </row>
    <row r="31" spans="1:13" hidden="1" x14ac:dyDescent="0.35">
      <c r="A31" s="182"/>
      <c r="B31" s="20" t="b">
        <f>IF('SF10 FRONT'!A77="Core","Core",IF('SF10 FRONT'!A77="Applied","Applied",IF('SF10 FRONT'!A77="Specialized","Specialized",IF('SF10 FRONT'!A77="Other_Subjects","Other_Subjects"))))</f>
        <v>0</v>
      </c>
      <c r="C31" s="1"/>
      <c r="D31" s="1"/>
      <c r="E31" s="1"/>
      <c r="I31" s="182"/>
      <c r="J31" s="1" t="str">
        <f>'SF10 FRONT'!I78</f>
        <v/>
      </c>
      <c r="K31" s="1" t="str">
        <f>'SF10 FRONT'!BI78</f>
        <v/>
      </c>
      <c r="L31" s="1" t="str">
        <f t="shared" si="0"/>
        <v/>
      </c>
      <c r="M31" s="1"/>
    </row>
    <row r="32" spans="1:13" hidden="1" x14ac:dyDescent="0.35">
      <c r="A32" s="182"/>
      <c r="B32" s="20" t="b">
        <f>IF('SF10 FRONT'!A78="Core","Core",IF('SF10 FRONT'!A78="Applied","Applied",IF('SF10 FRONT'!A78="Specialized","Specialized",IF('SF10 FRONT'!A78="Other_Subjects","Other_Subjects"))))</f>
        <v>0</v>
      </c>
      <c r="C32" s="1"/>
      <c r="D32" s="1"/>
      <c r="E32" s="1"/>
      <c r="I32" s="182"/>
      <c r="J32" s="1" t="str">
        <f>'SF10 FRONT'!I79</f>
        <v/>
      </c>
      <c r="K32" s="1" t="str">
        <f>'SF10 FRONT'!BI79</f>
        <v/>
      </c>
      <c r="L32" s="1" t="str">
        <f t="shared" si="0"/>
        <v/>
      </c>
      <c r="M32" s="1"/>
    </row>
    <row r="33" spans="1:13" hidden="1" x14ac:dyDescent="0.35">
      <c r="A33" s="182"/>
      <c r="B33" s="20" t="b">
        <f>IF('SF10 FRONT'!A79="Core","Core",IF('SF10 FRONT'!A79="Applied","Applied",IF('SF10 FRONT'!A79="Specialized","Specialized",IF('SF10 FRONT'!A79="Other_Subjects","Other_Subjects"))))</f>
        <v>0</v>
      </c>
      <c r="C33" s="1"/>
      <c r="D33" s="1"/>
      <c r="E33" s="1"/>
      <c r="I33" s="182"/>
      <c r="J33" s="1" t="str">
        <f>'SF10 FRONT'!I80</f>
        <v/>
      </c>
      <c r="K33" s="1" t="str">
        <f>'SF10 FRONT'!BI80</f>
        <v/>
      </c>
      <c r="L33" s="1" t="str">
        <f t="shared" si="0"/>
        <v/>
      </c>
      <c r="M33" s="1"/>
    </row>
    <row r="34" spans="1:13" hidden="1" x14ac:dyDescent="0.35">
      <c r="A34" s="182"/>
      <c r="B34" s="20" t="b">
        <f>IF('SF10 FRONT'!A80="Core","Core",IF('SF10 FRONT'!A80="Applied","Applied",IF('SF10 FRONT'!A80="Specialized","Specialized",IF('SF10 FRONT'!A80="Other_Subjects","Other_Subjects"))))</f>
        <v>0</v>
      </c>
      <c r="C34" s="1"/>
      <c r="D34" s="1"/>
      <c r="E34" s="1"/>
      <c r="I34" s="182"/>
      <c r="J34" s="1" t="str">
        <f>'SF10 FRONT'!I81</f>
        <v/>
      </c>
      <c r="K34" s="1" t="str">
        <f>'SF10 FRONT'!BI81</f>
        <v/>
      </c>
      <c r="L34" s="1" t="str">
        <f t="shared" si="0"/>
        <v/>
      </c>
      <c r="M34" s="1"/>
    </row>
    <row r="35" spans="1:13" hidden="1" x14ac:dyDescent="0.35">
      <c r="A35" s="182"/>
      <c r="B35" s="20" t="b">
        <f>IF('SF10 FRONT'!A81="Core","Core",IF('SF10 FRONT'!A81="Applied","Applied",IF('SF10 FRONT'!A81="Specialized","Specialized",IF('SF10 FRONT'!A81="Other_Subjects","Other_Subjects"))))</f>
        <v>0</v>
      </c>
      <c r="C35" s="1"/>
      <c r="D35" s="1"/>
      <c r="E35" s="1"/>
      <c r="I35" s="182"/>
      <c r="J35" s="1" t="str">
        <f>'SF10 FRONT'!I82</f>
        <v/>
      </c>
      <c r="K35" s="1" t="str">
        <f>'SF10 FRONT'!BI82</f>
        <v/>
      </c>
      <c r="L35" s="1" t="str">
        <f t="shared" si="0"/>
        <v/>
      </c>
      <c r="M35" s="1"/>
    </row>
    <row r="36" spans="1:13" hidden="1" x14ac:dyDescent="0.35">
      <c r="A36" s="182"/>
      <c r="B36" s="20" t="b">
        <f>IF('SF10 FRONT'!A82="Core","Core",IF('SF10 FRONT'!A82="Applied","Applied",IF('SF10 FRONT'!A82="Specialized","Specialized",IF('SF10 FRONT'!A82="Other_Subjects","Other_Subjects"))))</f>
        <v>0</v>
      </c>
      <c r="C36" s="1"/>
      <c r="D36" s="1"/>
      <c r="E36" s="1"/>
      <c r="I36" s="182"/>
      <c r="J36" s="1" t="str">
        <f>'SF10 FRONT'!I83</f>
        <v/>
      </c>
      <c r="K36" s="1" t="str">
        <f>'SF10 FRONT'!BI83</f>
        <v/>
      </c>
      <c r="L36" s="1" t="str">
        <f t="shared" si="0"/>
        <v/>
      </c>
      <c r="M36" s="1"/>
    </row>
    <row r="37" spans="1:13" hidden="1" x14ac:dyDescent="0.35">
      <c r="A37" s="182"/>
      <c r="B37" s="20" t="b">
        <f>IF('SF10 FRONT'!A83="Core","Core",IF('SF10 FRONT'!A83="Applied","Applied",IF('SF10 FRONT'!A83="Specialized","Specialized",IF('SF10 FRONT'!A83="Other_Subjects","Other_Subjects"))))</f>
        <v>0</v>
      </c>
      <c r="C37" s="1"/>
      <c r="D37" s="1"/>
      <c r="E37" s="1"/>
      <c r="I37" s="182"/>
      <c r="J37" s="1" t="str">
        <f>'SF10 FRONT'!I84</f>
        <v/>
      </c>
      <c r="K37" s="1" t="str">
        <f>'SF10 FRONT'!BI84</f>
        <v/>
      </c>
      <c r="L37" s="1" t="str">
        <f t="shared" si="0"/>
        <v/>
      </c>
      <c r="M37" s="1"/>
    </row>
    <row r="38" spans="1:13" hidden="1" x14ac:dyDescent="0.35">
      <c r="A38" s="182"/>
      <c r="B38" s="20" t="b">
        <f>IF('SF10 FRONT'!A84="Core","Core",IF('SF10 FRONT'!A84="Applied","Applied",IF('SF10 FRONT'!A84="Specialized","Specialized",IF('SF10 FRONT'!A84="Other_Subjects","Other_Subjects"))))</f>
        <v>0</v>
      </c>
      <c r="C38" s="1"/>
      <c r="D38" s="1"/>
      <c r="E38" s="1"/>
      <c r="I38" s="182"/>
      <c r="J38" s="1" t="str">
        <f>'SF10 FRONT'!I85</f>
        <v/>
      </c>
      <c r="K38" s="1" t="str">
        <f>'SF10 FRONT'!BI85</f>
        <v/>
      </c>
      <c r="L38" s="1" t="str">
        <f t="shared" si="0"/>
        <v/>
      </c>
      <c r="M38" s="1"/>
    </row>
    <row r="39" spans="1:13" hidden="1" x14ac:dyDescent="0.35">
      <c r="A39" s="182"/>
      <c r="B39" s="20" t="b">
        <f>IF('SF10 FRONT'!A85="Core","Core",IF('SF10 FRONT'!A85="Applied","Applied",IF('SF10 FRONT'!A85="Specialized","Specialized",IF('SF10 FRONT'!A85="Other_Subjects","Other_Subjects"))))</f>
        <v>0</v>
      </c>
      <c r="C39" s="1"/>
      <c r="D39" s="1"/>
      <c r="E39" s="1"/>
      <c r="I39" s="183">
        <v>4</v>
      </c>
      <c r="J39" s="1">
        <f>'SF10 FRONT'!I101</f>
        <v>0</v>
      </c>
      <c r="K39" s="1" t="str">
        <f>'SF10 FRONT'!BI101</f>
        <v/>
      </c>
      <c r="L39" s="1" t="str">
        <f t="shared" si="0"/>
        <v/>
      </c>
      <c r="M39" s="1"/>
    </row>
    <row r="40" spans="1:13" hidden="1" x14ac:dyDescent="0.35">
      <c r="A40" s="182">
        <v>4</v>
      </c>
      <c r="B40" s="18" t="b">
        <f>IF('SF10 FRONT'!A101="Core","Core",IF('SF10 FRONT'!A101="Applied","Applied",IF('SF10 FRONT'!A101="Specialized","Specialized",IF('SF10 FRONT'!A101="Other_Subjects","Other_Subjects"))))</f>
        <v>0</v>
      </c>
      <c r="C40" s="1"/>
      <c r="D40" s="1"/>
      <c r="E40" s="1"/>
      <c r="I40" s="183"/>
      <c r="J40" s="1">
        <f>'SF10 FRONT'!I102</f>
        <v>0</v>
      </c>
      <c r="K40" s="1" t="str">
        <f>'SF10 FRONT'!BI102</f>
        <v/>
      </c>
      <c r="L40" s="1" t="str">
        <f t="shared" si="0"/>
        <v/>
      </c>
      <c r="M40" s="1"/>
    </row>
    <row r="41" spans="1:13" hidden="1" x14ac:dyDescent="0.35">
      <c r="A41" s="182"/>
      <c r="B41" s="20" t="b">
        <f>IF('SF10 FRONT'!A102="Core","Core",IF('SF10 FRONT'!A102="Applied","Applied",IF('SF10 FRONT'!A102="Specialized","Specialized",IF('SF10 FRONT'!A102="Other_Subjects","Other_Subjects"))))</f>
        <v>0</v>
      </c>
      <c r="C41" s="1"/>
      <c r="D41" s="1"/>
      <c r="E41" s="1"/>
      <c r="I41" s="183"/>
      <c r="J41" s="1" t="e">
        <f>'SF10 FRONT'!#REF!</f>
        <v>#REF!</v>
      </c>
      <c r="K41" s="1" t="e">
        <f>'SF10 FRONT'!#REF!</f>
        <v>#REF!</v>
      </c>
      <c r="L41" s="1" t="e">
        <f t="shared" si="0"/>
        <v>#REF!</v>
      </c>
      <c r="M41" s="1"/>
    </row>
    <row r="42" spans="1:13" hidden="1" x14ac:dyDescent="0.35">
      <c r="A42" s="182"/>
      <c r="B42" s="20" t="e">
        <f>IF('SF10 FRONT'!#REF!="Core","Core",IF('SF10 FRONT'!#REF!="Applied","Applied",IF('SF10 FRONT'!#REF!="Specialized","Specialized",IF('SF10 FRONT'!#REF!="Other_Subjects","Other_Subjects"))))</f>
        <v>#REF!</v>
      </c>
      <c r="C42" s="1"/>
      <c r="D42" s="1"/>
      <c r="E42" s="1"/>
      <c r="I42" s="183"/>
      <c r="J42" s="1" t="e">
        <f>'SF10 FRONT'!#REF!</f>
        <v>#REF!</v>
      </c>
      <c r="K42" s="1" t="e">
        <f>'SF10 FRONT'!#REF!</f>
        <v>#REF!</v>
      </c>
      <c r="L42" s="1" t="e">
        <f t="shared" si="0"/>
        <v>#REF!</v>
      </c>
      <c r="M42" s="1"/>
    </row>
    <row r="43" spans="1:13" hidden="1" x14ac:dyDescent="0.35">
      <c r="A43" s="182"/>
      <c r="B43" s="20" t="e">
        <f>IF('SF10 FRONT'!#REF!="Core","Core",IF('SF10 FRONT'!#REF!="Applied","Applied",IF('SF10 FRONT'!#REF!="Specialized","Specialized",IF('SF10 FRONT'!#REF!="Other_Subjects","Other_Subjects"))))</f>
        <v>#REF!</v>
      </c>
      <c r="C43" s="1"/>
      <c r="D43" s="1"/>
      <c r="E43" s="1"/>
      <c r="I43" s="183"/>
      <c r="J43" s="1" t="e">
        <f>'SF10 FRONT'!#REF!</f>
        <v>#REF!</v>
      </c>
      <c r="K43" s="1" t="e">
        <f>'SF10 FRONT'!#REF!</f>
        <v>#REF!</v>
      </c>
      <c r="L43" s="1" t="e">
        <f t="shared" si="0"/>
        <v>#REF!</v>
      </c>
      <c r="M43" s="1"/>
    </row>
    <row r="44" spans="1:13" hidden="1" x14ac:dyDescent="0.35">
      <c r="A44" s="182"/>
      <c r="B44" s="20" t="e">
        <f>IF('SF10 FRONT'!#REF!="Core","Core",IF('SF10 FRONT'!#REF!="Applied","Applied",IF('SF10 FRONT'!#REF!="Specialized","Specialized",IF('SF10 FRONT'!#REF!="Other_Subjects","Other_Subjects"))))</f>
        <v>#REF!</v>
      </c>
      <c r="C44" s="1"/>
      <c r="D44" s="1"/>
      <c r="E44" s="1"/>
      <c r="I44" s="183"/>
      <c r="J44" s="1" t="e">
        <f>'SF10 FRONT'!#REF!</f>
        <v>#REF!</v>
      </c>
      <c r="K44" s="1" t="e">
        <f>'SF10 FRONT'!#REF!</f>
        <v>#REF!</v>
      </c>
      <c r="L44" s="1" t="e">
        <f t="shared" si="0"/>
        <v>#REF!</v>
      </c>
      <c r="M44" s="1"/>
    </row>
    <row r="45" spans="1:13" hidden="1" x14ac:dyDescent="0.35">
      <c r="A45" s="182"/>
      <c r="B45" s="20" t="e">
        <f>IF('SF10 FRONT'!#REF!="Core","Core",IF('SF10 FRONT'!#REF!="Applied","Applied",IF('SF10 FRONT'!#REF!="Specialized","Specialized",IF('SF10 FRONT'!#REF!="Other_Subjects","Other_Subjects"))))</f>
        <v>#REF!</v>
      </c>
      <c r="C45" s="1"/>
      <c r="D45" s="1"/>
      <c r="E45" s="1"/>
      <c r="I45" s="183"/>
      <c r="J45" s="1">
        <f>'SF10 FRONT'!I103</f>
        <v>0</v>
      </c>
      <c r="K45" s="1" t="str">
        <f>'SF10 FRONT'!BI103</f>
        <v/>
      </c>
      <c r="L45" s="1" t="str">
        <f t="shared" si="0"/>
        <v/>
      </c>
      <c r="M45" s="1"/>
    </row>
    <row r="46" spans="1:13" hidden="1" x14ac:dyDescent="0.35">
      <c r="A46" s="182"/>
      <c r="B46" s="20" t="b">
        <f>IF('SF10 FRONT'!A103="Core","Core",IF('SF10 FRONT'!A103="Applied","Applied",IF('SF10 FRONT'!A103="Specialized","Specialized",IF('SF10 FRONT'!A103="Other_Subjects","Other_Subjects"))))</f>
        <v>0</v>
      </c>
      <c r="C46" s="1"/>
      <c r="D46" s="1"/>
      <c r="E46" s="1"/>
      <c r="I46" s="183"/>
      <c r="J46" s="1">
        <f>'SF10 FRONT'!I104</f>
        <v>0</v>
      </c>
      <c r="K46" s="1" t="str">
        <f>'SF10 FRONT'!BI104</f>
        <v/>
      </c>
      <c r="L46" s="1" t="str">
        <f t="shared" si="0"/>
        <v/>
      </c>
      <c r="M46" s="1"/>
    </row>
    <row r="47" spans="1:13" hidden="1" x14ac:dyDescent="0.35">
      <c r="A47" s="182"/>
      <c r="B47" s="20" t="b">
        <f>IF('SF10 FRONT'!A104="Core","Core",IF('SF10 FRONT'!A104="Applied","Applied",IF('SF10 FRONT'!A104="Specialized","Specialized",IF('SF10 FRONT'!A104="Other_Subjects","Other_Subjects"))))</f>
        <v>0</v>
      </c>
      <c r="C47" s="1"/>
      <c r="D47" s="1"/>
      <c r="E47" s="1"/>
      <c r="I47" s="182">
        <v>5</v>
      </c>
      <c r="J47" s="1" t="str">
        <f>'SF10 BACK'!I11</f>
        <v/>
      </c>
      <c r="K47" s="1" t="str">
        <f>'SF10 BACK'!BI11</f>
        <v/>
      </c>
      <c r="L47" s="1" t="str">
        <f t="shared" si="0"/>
        <v/>
      </c>
      <c r="M47" s="1"/>
    </row>
    <row r="48" spans="1:13" hidden="1" x14ac:dyDescent="0.35">
      <c r="A48" s="182"/>
      <c r="B48" s="20" t="b">
        <f>IF('SF10 FRONT'!A105="Core","Core",IF('SF10 FRONT'!A105="Applied","Applied",IF('SF10 FRONT'!A105="Specialized","Specialized",IF('SF10 FRONT'!A105="Other_Subjects","Other_Subjects"))))</f>
        <v>0</v>
      </c>
      <c r="C48" s="1"/>
      <c r="D48" s="1"/>
      <c r="E48" s="1"/>
      <c r="I48" s="182"/>
      <c r="J48" s="1" t="str">
        <f>'SF10 BACK'!I12</f>
        <v/>
      </c>
      <c r="K48" s="1" t="str">
        <f>'SF10 BACK'!BI12</f>
        <v/>
      </c>
      <c r="L48" s="1" t="str">
        <f t="shared" si="0"/>
        <v/>
      </c>
      <c r="M48" s="1"/>
    </row>
    <row r="49" spans="1:13" hidden="1" x14ac:dyDescent="0.35">
      <c r="A49" s="182"/>
      <c r="B49" s="20" t="b">
        <f>IF('SF10 FRONT'!A106="Core","Core",IF('SF10 FRONT'!A106="Applied","Applied",IF('SF10 FRONT'!A106="Specialized","Specialized",IF('SF10 FRONT'!A106="Other_Subjects","Other_Subjects"))))</f>
        <v>0</v>
      </c>
      <c r="C49" s="1"/>
      <c r="D49" s="1"/>
      <c r="E49" s="1"/>
      <c r="I49" s="182"/>
      <c r="J49" s="1" t="str">
        <f>'SF10 BACK'!I13</f>
        <v/>
      </c>
      <c r="K49" s="1" t="str">
        <f>'SF10 BACK'!BI13</f>
        <v/>
      </c>
      <c r="L49" s="1" t="str">
        <f t="shared" si="0"/>
        <v/>
      </c>
      <c r="M49" s="1"/>
    </row>
    <row r="50" spans="1:13" hidden="1" x14ac:dyDescent="0.35">
      <c r="A50" s="182"/>
      <c r="B50" s="20" t="b">
        <f>IF('SF10 FRONT'!A107="Core","Core",IF('SF10 FRONT'!A107="Applied","Applied",IF('SF10 FRONT'!A107="Specialized","Specialized",IF('SF10 FRONT'!A107="Other_Subjects","Other_Subjects"))))</f>
        <v>0</v>
      </c>
      <c r="C50" s="1"/>
      <c r="D50" s="1"/>
      <c r="E50" s="1"/>
      <c r="I50" s="182"/>
      <c r="J50" s="1" t="str">
        <f>'SF10 BACK'!I14</f>
        <v/>
      </c>
      <c r="K50" s="1" t="str">
        <f>'SF10 BACK'!BI14</f>
        <v/>
      </c>
      <c r="L50" s="1" t="str">
        <f t="shared" si="0"/>
        <v/>
      </c>
      <c r="M50" s="1"/>
    </row>
    <row r="51" spans="1:13" hidden="1" x14ac:dyDescent="0.35">
      <c r="A51" s="182"/>
      <c r="B51" s="22" t="b">
        <f>IF('SF10 FRONT'!A108="Core","Core",IF('SF10 FRONT'!A108="Applied","Applied",IF('SF10 FRONT'!A108="Specialized","Specialized",IF('SF10 FRONT'!A108="Other_Subjects","Other_Subjects"))))</f>
        <v>0</v>
      </c>
      <c r="C51" s="1"/>
      <c r="D51" s="1"/>
      <c r="E51" s="1"/>
      <c r="I51" s="182"/>
      <c r="J51" s="1" t="str">
        <f>'SF10 BACK'!I15</f>
        <v/>
      </c>
      <c r="K51" s="1" t="str">
        <f>'SF10 BACK'!BI15</f>
        <v/>
      </c>
      <c r="L51" s="1" t="str">
        <f t="shared" si="0"/>
        <v/>
      </c>
      <c r="M51" s="1"/>
    </row>
    <row r="52" spans="1:13" hidden="1" x14ac:dyDescent="0.35">
      <c r="A52" s="182">
        <v>5</v>
      </c>
      <c r="B52" s="20" t="b">
        <f>IF('SF10 BACK'!A11="Core","Core",IF('SF10 BACK'!A11="Applied","Applied",IF('SF10 BACK'!A11="Specialized","Specialized",IF('SF10 BACK'!A11="Other_Subjects","Other_Subjects"))))</f>
        <v>0</v>
      </c>
      <c r="C52" s="1"/>
      <c r="D52" s="1"/>
      <c r="E52" s="1"/>
      <c r="I52" s="182"/>
      <c r="J52" s="1" t="str">
        <f>'SF10 BACK'!I16</f>
        <v/>
      </c>
      <c r="K52" s="1" t="str">
        <f>'SF10 BACK'!BI16</f>
        <v/>
      </c>
      <c r="L52" s="1" t="str">
        <f t="shared" si="0"/>
        <v/>
      </c>
      <c r="M52" s="1"/>
    </row>
    <row r="53" spans="1:13" hidden="1" x14ac:dyDescent="0.35">
      <c r="A53" s="182"/>
      <c r="B53" s="20" t="b">
        <f>IF('SF10 BACK'!A12="Core","Core",IF('SF10 BACK'!A12="Applied","Applied",IF('SF10 BACK'!A12="Specialized","Specialized",IF('SF10 BACK'!A12="Other_Subjects","Other_Subjects"))))</f>
        <v>0</v>
      </c>
      <c r="C53" s="1"/>
      <c r="D53" s="1"/>
      <c r="E53" s="1"/>
      <c r="I53" s="182"/>
      <c r="J53" s="1" t="str">
        <f>'SF10 BACK'!I17</f>
        <v/>
      </c>
      <c r="K53" s="1" t="str">
        <f>'SF10 BACK'!BI17</f>
        <v/>
      </c>
      <c r="L53" s="1" t="str">
        <f t="shared" si="0"/>
        <v/>
      </c>
      <c r="M53" s="1"/>
    </row>
    <row r="54" spans="1:13" hidden="1" x14ac:dyDescent="0.35">
      <c r="A54" s="182"/>
      <c r="B54" s="20" t="b">
        <f>IF('SF10 BACK'!A13="Core","Core",IF('SF10 BACK'!A13="Applied","Applied",IF('SF10 BACK'!A13="Specialized","Specialized",IF('SF10 BACK'!A13="Other_Subjects","Other_Subjects"))))</f>
        <v>0</v>
      </c>
      <c r="C54" s="1"/>
      <c r="D54" s="1"/>
      <c r="E54" s="1"/>
      <c r="I54" s="182"/>
      <c r="J54" s="1" t="str">
        <f>'SF10 BACK'!I18</f>
        <v/>
      </c>
      <c r="K54" s="1" t="str">
        <f>'SF10 BACK'!BI18</f>
        <v/>
      </c>
      <c r="L54" s="1" t="str">
        <f t="shared" si="0"/>
        <v/>
      </c>
      <c r="M54" s="1"/>
    </row>
    <row r="55" spans="1:13" hidden="1" x14ac:dyDescent="0.35">
      <c r="A55" s="182"/>
      <c r="B55" s="20" t="b">
        <f>IF('SF10 BACK'!A14="Core","Core",IF('SF10 BACK'!A14="Applied","Applied",IF('SF10 BACK'!A14="Specialized","Specialized",IF('SF10 BACK'!A14="Other_Subjects","Other_Subjects"))))</f>
        <v>0</v>
      </c>
      <c r="C55" s="1"/>
      <c r="D55" s="1"/>
      <c r="E55" s="1"/>
      <c r="I55" s="182"/>
      <c r="J55" s="1" t="str">
        <f>'SF10 BACK'!I19</f>
        <v/>
      </c>
      <c r="K55" s="1" t="str">
        <f>'SF10 BACK'!BI19</f>
        <v/>
      </c>
      <c r="L55" s="1" t="str">
        <f t="shared" si="0"/>
        <v/>
      </c>
      <c r="M55" s="1"/>
    </row>
    <row r="56" spans="1:13" hidden="1" x14ac:dyDescent="0.35">
      <c r="A56" s="182"/>
      <c r="B56" s="20" t="b">
        <f>IF('SF10 BACK'!A15="Core","Core",IF('SF10 BACK'!A15="Applied","Applied",IF('SF10 BACK'!A15="Specialized","Specialized",IF('SF10 BACK'!A15="Other_Subjects","Other_Subjects"))))</f>
        <v>0</v>
      </c>
      <c r="C56" s="1"/>
      <c r="D56" s="1"/>
      <c r="E56" s="1"/>
      <c r="I56" s="182"/>
      <c r="J56" s="1" t="str">
        <f>'SF10 BACK'!I20</f>
        <v/>
      </c>
      <c r="K56" s="1" t="str">
        <f>'SF10 BACK'!BI20</f>
        <v/>
      </c>
      <c r="L56" s="1" t="str">
        <f t="shared" si="0"/>
        <v/>
      </c>
      <c r="M56" s="1"/>
    </row>
    <row r="57" spans="1:13" hidden="1" x14ac:dyDescent="0.35">
      <c r="A57" s="182"/>
      <c r="B57" s="20" t="b">
        <f>IF('SF10 BACK'!A16="Core","Core",IF('SF10 BACK'!A16="Applied","Applied",IF('SF10 BACK'!A16="Specialized","Specialized",IF('SF10 BACK'!A16="Other_Subjects","Other_Subjects"))))</f>
        <v>0</v>
      </c>
      <c r="C57" s="1"/>
      <c r="D57" s="1"/>
      <c r="E57" s="1"/>
      <c r="I57" s="182"/>
      <c r="J57" s="1" t="str">
        <f>'SF10 BACK'!I21</f>
        <v/>
      </c>
      <c r="K57" s="1" t="str">
        <f>'SF10 BACK'!BI21</f>
        <v/>
      </c>
      <c r="L57" s="1" t="str">
        <f t="shared" si="0"/>
        <v/>
      </c>
      <c r="M57" s="1"/>
    </row>
    <row r="58" spans="1:13" hidden="1" x14ac:dyDescent="0.35">
      <c r="A58" s="182"/>
      <c r="B58" s="20" t="b">
        <f>IF('SF10 BACK'!A17="Core","Core",IF('SF10 BACK'!A17="Applied","Applied",IF('SF10 BACK'!A17="Specialized","Specialized",IF('SF10 BACK'!A17="Other_Subjects","Other_Subjects"))))</f>
        <v>0</v>
      </c>
      <c r="C58" s="1"/>
      <c r="D58" s="1"/>
      <c r="E58" s="1"/>
      <c r="I58" s="182"/>
      <c r="J58" s="1" t="str">
        <f>'SF10 BACK'!I22</f>
        <v/>
      </c>
      <c r="K58" s="1" t="str">
        <f>'SF10 BACK'!BI22</f>
        <v/>
      </c>
      <c r="L58" s="1" t="str">
        <f t="shared" si="0"/>
        <v/>
      </c>
      <c r="M58" s="1"/>
    </row>
    <row r="59" spans="1:13" hidden="1" x14ac:dyDescent="0.35">
      <c r="A59" s="182"/>
      <c r="B59" s="20" t="b">
        <f>IF('SF10 BACK'!A18="Core","Core",IF('SF10 BACK'!A18="Applied","Applied",IF('SF10 BACK'!A18="Specialized","Specialized",IF('SF10 BACK'!A18="Other_Subjects","Other_Subjects"))))</f>
        <v>0</v>
      </c>
      <c r="C59" s="1"/>
      <c r="D59" s="1"/>
      <c r="E59" s="1"/>
      <c r="I59" s="183">
        <v>6</v>
      </c>
      <c r="J59" s="1">
        <f>'SF10 BACK'!I38</f>
        <v>0</v>
      </c>
      <c r="K59" s="1" t="str">
        <f>'SF10 BACK'!BI38</f>
        <v/>
      </c>
      <c r="L59" s="1" t="str">
        <f t="shared" si="0"/>
        <v/>
      </c>
      <c r="M59" s="1"/>
    </row>
    <row r="60" spans="1:13" hidden="1" x14ac:dyDescent="0.35">
      <c r="A60" s="182"/>
      <c r="B60" s="20" t="b">
        <f>IF('SF10 BACK'!A19="Core","Core",IF('SF10 BACK'!A19="Applied","Applied",IF('SF10 BACK'!A19="Specialized","Specialized",IF('SF10 BACK'!A19="Other_Subjects","Other_Subjects"))))</f>
        <v>0</v>
      </c>
      <c r="C60" s="1"/>
      <c r="D60" s="1"/>
      <c r="E60" s="1"/>
      <c r="I60" s="183"/>
      <c r="J60" s="1">
        <f>'SF10 BACK'!I39</f>
        <v>0</v>
      </c>
      <c r="K60" s="1" t="str">
        <f>'SF10 BACK'!BI39</f>
        <v/>
      </c>
      <c r="L60" s="1" t="str">
        <f t="shared" si="0"/>
        <v/>
      </c>
      <c r="M60" s="1"/>
    </row>
    <row r="61" spans="1:13" hidden="1" x14ac:dyDescent="0.35">
      <c r="A61" s="182"/>
      <c r="B61" s="20" t="b">
        <f>IF('SF10 BACK'!A20="Core","Core",IF('SF10 BACK'!A20="Applied","Applied",IF('SF10 BACK'!A20="Specialized","Specialized",IF('SF10 BACK'!A20="Other_Subjects","Other_Subjects"))))</f>
        <v>0</v>
      </c>
      <c r="C61" s="1"/>
      <c r="D61" s="1"/>
      <c r="E61" s="1"/>
      <c r="I61" s="183"/>
      <c r="J61" s="1" t="e">
        <f>'SF10 BACK'!#REF!</f>
        <v>#REF!</v>
      </c>
      <c r="K61" s="1" t="e">
        <f>'SF10 BACK'!#REF!</f>
        <v>#REF!</v>
      </c>
      <c r="L61" s="1" t="e">
        <f t="shared" si="0"/>
        <v>#REF!</v>
      </c>
      <c r="M61" s="1"/>
    </row>
    <row r="62" spans="1:13" hidden="1" x14ac:dyDescent="0.35">
      <c r="A62" s="182"/>
      <c r="B62" s="20" t="b">
        <f>IF('SF10 BACK'!A21="Core","Core",IF('SF10 BACK'!A21="Applied","Applied",IF('SF10 BACK'!A21="Specialized","Specialized",IF('SF10 BACK'!A21="Other_Subjects","Other_Subjects"))))</f>
        <v>0</v>
      </c>
      <c r="C62" s="1"/>
      <c r="D62" s="1"/>
      <c r="E62" s="1"/>
      <c r="I62" s="183"/>
      <c r="J62" s="1" t="e">
        <f>'SF10 BACK'!#REF!</f>
        <v>#REF!</v>
      </c>
      <c r="K62" s="1" t="e">
        <f>'SF10 BACK'!#REF!</f>
        <v>#REF!</v>
      </c>
      <c r="L62" s="1" t="e">
        <f t="shared" si="0"/>
        <v>#REF!</v>
      </c>
      <c r="M62" s="1"/>
    </row>
    <row r="63" spans="1:13" hidden="1" x14ac:dyDescent="0.35">
      <c r="A63" s="182"/>
      <c r="B63" s="20" t="b">
        <f>IF('SF10 BACK'!A22="Core","Core",IF('SF10 BACK'!A22="Applied","Applied",IF('SF10 BACK'!A22="Specialized","Specialized",IF('SF10 BACK'!A22="Other_Subjects","Other_Subjects"))))</f>
        <v>0</v>
      </c>
      <c r="C63" s="1"/>
      <c r="D63" s="1"/>
      <c r="E63" s="1"/>
      <c r="I63" s="183"/>
      <c r="J63" s="1" t="e">
        <f>'SF10 BACK'!#REF!</f>
        <v>#REF!</v>
      </c>
      <c r="K63" s="1" t="e">
        <f>'SF10 BACK'!#REF!</f>
        <v>#REF!</v>
      </c>
      <c r="L63" s="1" t="e">
        <f t="shared" si="0"/>
        <v>#REF!</v>
      </c>
      <c r="M63" s="1"/>
    </row>
    <row r="64" spans="1:13" hidden="1" x14ac:dyDescent="0.35">
      <c r="A64" s="182">
        <v>6</v>
      </c>
      <c r="B64" s="18" t="b">
        <f>IF('SF10 BACK'!A38="Core","Core",IF('SF10 BACK'!A38="Applied","Applied",IF('SF10 BACK'!A38="Specialized","Specialized",IF('SF10 BACK'!A38="Other_Subjects","Other_Subjects"))))</f>
        <v>0</v>
      </c>
      <c r="C64" s="1"/>
      <c r="D64" s="1"/>
      <c r="E64" s="1"/>
      <c r="I64" s="183"/>
      <c r="J64" s="1" t="e">
        <f>'SF10 BACK'!#REF!</f>
        <v>#REF!</v>
      </c>
      <c r="K64" s="1" t="e">
        <f>'SF10 BACK'!#REF!</f>
        <v>#REF!</v>
      </c>
      <c r="L64" s="1" t="e">
        <f t="shared" si="0"/>
        <v>#REF!</v>
      </c>
      <c r="M64" s="1"/>
    </row>
    <row r="65" spans="1:13" hidden="1" x14ac:dyDescent="0.35">
      <c r="A65" s="182"/>
      <c r="B65" s="20" t="b">
        <f>IF('SF10 BACK'!A39="Core","Core",IF('SF10 BACK'!A39="Applied","Applied",IF('SF10 BACK'!A39="Specialized","Specialized",IF('SF10 BACK'!A39="Other_Subjects","Other_Subjects"))))</f>
        <v>0</v>
      </c>
      <c r="C65" s="1"/>
      <c r="D65" s="1"/>
      <c r="E65" s="1"/>
      <c r="I65" s="183"/>
      <c r="J65" s="1">
        <f>'SF10 BACK'!I40</f>
        <v>0</v>
      </c>
      <c r="K65" s="1" t="str">
        <f>'SF10 BACK'!BI40</f>
        <v/>
      </c>
      <c r="L65" s="1" t="str">
        <f t="shared" si="0"/>
        <v/>
      </c>
      <c r="M65" s="1"/>
    </row>
    <row r="66" spans="1:13" hidden="1" x14ac:dyDescent="0.35">
      <c r="A66" s="182"/>
      <c r="B66" s="20" t="e">
        <f>IF('SF10 BACK'!#REF!="Core","Core",IF('SF10 BACK'!#REF!="Applied","Applied",IF('SF10 BACK'!#REF!="Specialized","Specialized",IF('SF10 BACK'!#REF!="Other_Subjects","Other_Subjects"))))</f>
        <v>#REF!</v>
      </c>
      <c r="C66" s="1"/>
      <c r="D66" s="1"/>
      <c r="E66" s="1"/>
      <c r="I66" s="183"/>
      <c r="J66" s="1">
        <f>'SF10 BACK'!I41</f>
        <v>0</v>
      </c>
      <c r="K66" s="1" t="str">
        <f>'SF10 BACK'!BI41</f>
        <v/>
      </c>
      <c r="L66" s="1" t="str">
        <f t="shared" si="0"/>
        <v/>
      </c>
      <c r="M66" s="1"/>
    </row>
    <row r="67" spans="1:13" hidden="1" x14ac:dyDescent="0.35">
      <c r="A67" s="182"/>
      <c r="B67" s="20" t="e">
        <f>IF('SF10 BACK'!#REF!="Core","Core",IF('SF10 BACK'!#REF!="Applied","Applied",IF('SF10 BACK'!#REF!="Specialized","Specialized",IF('SF10 BACK'!#REF!="Other_Subjects","Other_Subjects"))))</f>
        <v>#REF!</v>
      </c>
      <c r="C67" s="1"/>
      <c r="D67" s="1"/>
      <c r="E67" s="1"/>
      <c r="I67" s="182">
        <v>7</v>
      </c>
      <c r="J67" s="1" t="str">
        <f>'SF10 BACK'!I54</f>
        <v/>
      </c>
      <c r="K67" s="1" t="str">
        <f>'SF10 BACK'!BI54</f>
        <v/>
      </c>
      <c r="L67" s="1" t="str">
        <f t="shared" si="0"/>
        <v/>
      </c>
      <c r="M67" s="1"/>
    </row>
    <row r="68" spans="1:13" hidden="1" x14ac:dyDescent="0.35">
      <c r="A68" s="182"/>
      <c r="B68" s="20" t="e">
        <f>IF('SF10 BACK'!#REF!="Core","Core",IF('SF10 BACK'!#REF!="Applied","Applied",IF('SF10 BACK'!#REF!="Specialized","Specialized",IF('SF10 BACK'!#REF!="Other_Subjects","Other_Subjects"))))</f>
        <v>#REF!</v>
      </c>
      <c r="C68" s="1"/>
      <c r="D68" s="1"/>
      <c r="E68" s="1"/>
      <c r="I68" s="182"/>
      <c r="J68" s="1" t="str">
        <f>'SF10 BACK'!I55</f>
        <v/>
      </c>
      <c r="K68" s="1" t="str">
        <f>'SF10 BACK'!BI55</f>
        <v/>
      </c>
      <c r="L68" s="1" t="str">
        <f t="shared" si="0"/>
        <v/>
      </c>
      <c r="M68" s="1"/>
    </row>
    <row r="69" spans="1:13" hidden="1" x14ac:dyDescent="0.35">
      <c r="A69" s="182"/>
      <c r="B69" s="20" t="e">
        <f>IF('SF10 BACK'!#REF!="Core","Core",IF('SF10 BACK'!#REF!="Applied","Applied",IF('SF10 BACK'!#REF!="Specialized","Specialized",IF('SF10 BACK'!#REF!="Other_Subjects","Other_Subjects"))))</f>
        <v>#REF!</v>
      </c>
      <c r="C69" s="1"/>
      <c r="D69" s="1"/>
      <c r="E69" s="1"/>
      <c r="I69" s="182"/>
      <c r="J69" s="1" t="str">
        <f>'SF10 BACK'!I56</f>
        <v/>
      </c>
      <c r="K69" s="1" t="str">
        <f>'SF10 BACK'!BI56</f>
        <v/>
      </c>
      <c r="L69" s="1" t="str">
        <f t="shared" si="0"/>
        <v/>
      </c>
      <c r="M69" s="1"/>
    </row>
    <row r="70" spans="1:13" hidden="1" x14ac:dyDescent="0.35">
      <c r="A70" s="182"/>
      <c r="B70" s="20" t="b">
        <f>IF('SF10 BACK'!A40="Core","Core",IF('SF10 BACK'!A40="Applied","Applied",IF('SF10 BACK'!A40="Specialized","Specialized",IF('SF10 BACK'!A40="Other_Subjects","Other_Subjects"))))</f>
        <v>0</v>
      </c>
      <c r="C70" s="1"/>
      <c r="D70" s="1"/>
      <c r="E70" s="1"/>
      <c r="I70" s="182"/>
      <c r="J70" s="1" t="str">
        <f>'SF10 BACK'!I57</f>
        <v/>
      </c>
      <c r="K70" s="1" t="str">
        <f>'SF10 BACK'!BI57</f>
        <v/>
      </c>
      <c r="L70" s="1" t="str">
        <f t="shared" si="0"/>
        <v/>
      </c>
      <c r="M70" s="1"/>
    </row>
    <row r="71" spans="1:13" hidden="1" x14ac:dyDescent="0.35">
      <c r="A71" s="182"/>
      <c r="B71" s="20" t="b">
        <f>IF('SF10 BACK'!A41="Core","Core",IF('SF10 BACK'!A41="Applied","Applied",IF('SF10 BACK'!A41="Specialized","Specialized",IF('SF10 BACK'!A41="Other_Subjects","Other_Subjects"))))</f>
        <v>0</v>
      </c>
      <c r="C71" s="1"/>
      <c r="D71" s="1"/>
      <c r="E71" s="1"/>
      <c r="I71" s="182"/>
      <c r="J71" s="1" t="str">
        <f>'SF10 BACK'!I58</f>
        <v/>
      </c>
      <c r="K71" s="1" t="str">
        <f>'SF10 BACK'!BI58</f>
        <v/>
      </c>
      <c r="L71" s="1" t="str">
        <f t="shared" si="0"/>
        <v/>
      </c>
      <c r="M71" s="1"/>
    </row>
    <row r="72" spans="1:13" hidden="1" x14ac:dyDescent="0.35">
      <c r="A72" s="182"/>
      <c r="B72" s="20" t="b">
        <f>IF('SF10 BACK'!A42="Core","Core",IF('SF10 BACK'!A42="Applied","Applied",IF('SF10 BACK'!A42="Specialized","Specialized",IF('SF10 BACK'!A42="Other_Subjects","Other_Subjects"))))</f>
        <v>0</v>
      </c>
      <c r="C72" s="1"/>
      <c r="D72" s="1"/>
      <c r="E72" s="1"/>
      <c r="I72" s="182"/>
      <c r="J72" s="1" t="str">
        <f>'SF10 BACK'!I59</f>
        <v/>
      </c>
      <c r="K72" s="1" t="str">
        <f>'SF10 BACK'!BI59</f>
        <v/>
      </c>
      <c r="L72" s="1" t="str">
        <f t="shared" ref="L72:L87" si="1">IF(K72="PASSED","∕","")</f>
        <v/>
      </c>
      <c r="M72" s="1"/>
    </row>
    <row r="73" spans="1:13" hidden="1" x14ac:dyDescent="0.35">
      <c r="A73" s="182"/>
      <c r="B73" s="20" t="b">
        <f>IF('SF10 BACK'!A43="Core","Core",IF('SF10 BACK'!A43="Applied","Applied",IF('SF10 BACK'!A43="Specialized","Specialized",IF('SF10 BACK'!A43="Other_Subjects","Other_Subjects"))))</f>
        <v>0</v>
      </c>
      <c r="C73" s="1"/>
      <c r="D73" s="1"/>
      <c r="E73" s="1"/>
      <c r="I73" s="182"/>
      <c r="J73" s="1" t="str">
        <f>'SF10 BACK'!I60</f>
        <v/>
      </c>
      <c r="K73" s="1" t="str">
        <f>'SF10 BACK'!BI60</f>
        <v/>
      </c>
      <c r="L73" s="1" t="str">
        <f t="shared" si="1"/>
        <v/>
      </c>
      <c r="M73" s="1"/>
    </row>
    <row r="74" spans="1:13" hidden="1" x14ac:dyDescent="0.35">
      <c r="A74" s="182"/>
      <c r="B74" s="20" t="b">
        <f>IF('SF10 BACK'!A44="Core","Core",IF('SF10 BACK'!A44="Applied","Applied",IF('SF10 BACK'!A44="Specialized","Specialized",IF('SF10 BACK'!A44="Other_Subjects","Other_Subjects"))))</f>
        <v>0</v>
      </c>
      <c r="C74" s="1"/>
      <c r="D74" s="1"/>
      <c r="E74" s="1"/>
      <c r="I74" s="182"/>
      <c r="J74" s="1" t="str">
        <f>'SF10 BACK'!I61</f>
        <v/>
      </c>
      <c r="K74" s="1" t="str">
        <f>'SF10 BACK'!BI61</f>
        <v/>
      </c>
      <c r="L74" s="6" t="str">
        <f t="shared" si="1"/>
        <v/>
      </c>
    </row>
    <row r="75" spans="1:13" hidden="1" x14ac:dyDescent="0.35">
      <c r="A75" s="182"/>
      <c r="B75" s="20" t="b">
        <f>IF('SF10 BACK'!A45="Core","Core",IF('SF10 BACK'!A45="Applied","Applied",IF('SF10 BACK'!A45="Specialized","Specialized",IF('SF10 BACK'!A45="Other_Subjects","Other_Subjects"))))</f>
        <v>0</v>
      </c>
      <c r="C75" s="1"/>
      <c r="D75" s="1"/>
      <c r="E75" s="1"/>
      <c r="I75" s="182"/>
      <c r="J75" s="1" t="str">
        <f>'SF10 BACK'!I62</f>
        <v/>
      </c>
      <c r="K75" s="1" t="str">
        <f>'SF10 BACK'!BI62</f>
        <v/>
      </c>
      <c r="L75" s="6" t="str">
        <f t="shared" si="1"/>
        <v/>
      </c>
    </row>
    <row r="76" spans="1:13" hidden="1" x14ac:dyDescent="0.35">
      <c r="A76" s="182">
        <v>7</v>
      </c>
      <c r="B76" s="18" t="b">
        <f>IF('SF10 BACK'!A54="Core","Core",IF('SF10 BACK'!A54="Applied","Applied",IF('SF10 BACK'!A54="Specialized","Specialized",IF('SF10 BACK'!A54="Other_Subjects","Other_Subjects"))))</f>
        <v>0</v>
      </c>
      <c r="I76" s="182"/>
      <c r="J76" s="1" t="str">
        <f>'SF10 BACK'!I63</f>
        <v/>
      </c>
      <c r="K76" s="1" t="str">
        <f>'SF10 BACK'!BI63</f>
        <v/>
      </c>
      <c r="L76" s="6" t="str">
        <f t="shared" si="1"/>
        <v/>
      </c>
    </row>
    <row r="77" spans="1:13" hidden="1" x14ac:dyDescent="0.35">
      <c r="A77" s="182"/>
      <c r="B77" s="20" t="b">
        <f>IF('SF10 BACK'!A55="Core","Core",IF('SF10 BACK'!A55="Applied","Applied",IF('SF10 BACK'!A55="Specialized","Specialized",IF('SF10 BACK'!A55="Other_Subjects","Other_Subjects"))))</f>
        <v>0</v>
      </c>
      <c r="I77" s="182"/>
      <c r="J77" s="1" t="str">
        <f>'SF10 BACK'!I64</f>
        <v/>
      </c>
      <c r="K77" s="1" t="str">
        <f>'SF10 BACK'!BI64</f>
        <v/>
      </c>
      <c r="L77" s="6" t="str">
        <f t="shared" si="1"/>
        <v/>
      </c>
    </row>
    <row r="78" spans="1:13" hidden="1" x14ac:dyDescent="0.35">
      <c r="A78" s="182"/>
      <c r="B78" s="20" t="b">
        <f>IF('SF10 BACK'!A56="Core","Core",IF('SF10 BACK'!A56="Applied","Applied",IF('SF10 BACK'!A56="Specialized","Specialized",IF('SF10 BACK'!A56="Other_Subjects","Other_Subjects"))))</f>
        <v>0</v>
      </c>
      <c r="I78" s="182"/>
      <c r="J78" s="1" t="str">
        <f>'SF10 BACK'!I65</f>
        <v/>
      </c>
      <c r="K78" s="1" t="str">
        <f>'SF10 BACK'!BI65</f>
        <v/>
      </c>
      <c r="L78" s="6" t="str">
        <f t="shared" si="1"/>
        <v/>
      </c>
    </row>
    <row r="79" spans="1:13" hidden="1" x14ac:dyDescent="0.35">
      <c r="A79" s="182"/>
      <c r="B79" s="20" t="b">
        <f>IF('SF10 BACK'!A57="Core","Core",IF('SF10 BACK'!A57="Applied","Applied",IF('SF10 BACK'!A57="Specialized","Specialized",IF('SF10 BACK'!A57="Other_Subjects","Other_Subjects"))))</f>
        <v>0</v>
      </c>
      <c r="I79" s="183">
        <v>8</v>
      </c>
      <c r="J79" s="1">
        <f>'SF10 BACK'!I81</f>
        <v>0</v>
      </c>
      <c r="K79" s="1" t="str">
        <f>'SF10 BACK'!BI81</f>
        <v/>
      </c>
      <c r="L79" s="6" t="str">
        <f t="shared" si="1"/>
        <v/>
      </c>
    </row>
    <row r="80" spans="1:13" hidden="1" x14ac:dyDescent="0.35">
      <c r="A80" s="182"/>
      <c r="B80" s="20" t="b">
        <f>IF('SF10 BACK'!A58="Core","Core",IF('SF10 BACK'!A58="Applied","Applied",IF('SF10 BACK'!A58="Specialized","Specialized",IF('SF10 BACK'!A58="Other_Subjects","Other_Subjects"))))</f>
        <v>0</v>
      </c>
      <c r="I80" s="183"/>
      <c r="J80" s="1">
        <f>'SF10 BACK'!I82</f>
        <v>0</v>
      </c>
      <c r="K80" s="1" t="str">
        <f>'SF10 BACK'!BI82</f>
        <v/>
      </c>
      <c r="L80" s="6" t="str">
        <f t="shared" si="1"/>
        <v/>
      </c>
    </row>
    <row r="81" spans="1:12" hidden="1" x14ac:dyDescent="0.35">
      <c r="A81" s="182"/>
      <c r="B81" s="20" t="b">
        <f>IF('SF10 BACK'!A59="Core","Core",IF('SF10 BACK'!A59="Applied","Applied",IF('SF10 BACK'!A59="Specialized","Specialized",IF('SF10 BACK'!A59="Other_Subjects","Other_Subjects"))))</f>
        <v>0</v>
      </c>
      <c r="I81" s="183"/>
      <c r="J81" s="1" t="e">
        <f>'SF10 BACK'!#REF!</f>
        <v>#REF!</v>
      </c>
      <c r="K81" s="1" t="e">
        <f>'SF10 BACK'!#REF!</f>
        <v>#REF!</v>
      </c>
      <c r="L81" s="6" t="e">
        <f t="shared" si="1"/>
        <v>#REF!</v>
      </c>
    </row>
    <row r="82" spans="1:12" hidden="1" x14ac:dyDescent="0.35">
      <c r="A82" s="182"/>
      <c r="B82" s="20" t="b">
        <f>IF('SF10 BACK'!A60="Core","Core",IF('SF10 BACK'!A60="Applied","Applied",IF('SF10 BACK'!A60="Specialized","Specialized",IF('SF10 BACK'!A60="Other_Subjects","Other_Subjects"))))</f>
        <v>0</v>
      </c>
      <c r="I82" s="183"/>
      <c r="J82" s="1" t="e">
        <f>'SF10 BACK'!#REF!</f>
        <v>#REF!</v>
      </c>
      <c r="K82" s="1" t="e">
        <f>'SF10 BACK'!#REF!</f>
        <v>#REF!</v>
      </c>
      <c r="L82" s="6" t="e">
        <f t="shared" si="1"/>
        <v>#REF!</v>
      </c>
    </row>
    <row r="83" spans="1:12" hidden="1" x14ac:dyDescent="0.35">
      <c r="A83" s="182"/>
      <c r="B83" s="20" t="b">
        <f>IF('SF10 BACK'!A61="Core","Core",IF('SF10 BACK'!A61="Applied","Applied",IF('SF10 BACK'!A61="Specialized","Specialized",IF('SF10 BACK'!A61="Other_Subjects","Other_Subjects"))))</f>
        <v>0</v>
      </c>
      <c r="I83" s="183"/>
      <c r="J83" s="1" t="e">
        <f>'SF10 BACK'!#REF!</f>
        <v>#REF!</v>
      </c>
      <c r="K83" s="1" t="e">
        <f>'SF10 BACK'!#REF!</f>
        <v>#REF!</v>
      </c>
      <c r="L83" s="6" t="e">
        <f t="shared" si="1"/>
        <v>#REF!</v>
      </c>
    </row>
    <row r="84" spans="1:12" hidden="1" x14ac:dyDescent="0.35">
      <c r="A84" s="182"/>
      <c r="B84" s="20" t="b">
        <f>IF('SF10 BACK'!A62="Core","Core",IF('SF10 BACK'!A62="Applied","Applied",IF('SF10 BACK'!A62="Specialized","Specialized",IF('SF10 BACK'!A62="Other_Subjects","Other_Subjects"))))</f>
        <v>0</v>
      </c>
      <c r="I84" s="183"/>
      <c r="J84" s="1" t="e">
        <f>'SF10 BACK'!#REF!</f>
        <v>#REF!</v>
      </c>
      <c r="K84" s="1" t="e">
        <f>'SF10 BACK'!#REF!</f>
        <v>#REF!</v>
      </c>
      <c r="L84" s="6" t="e">
        <f t="shared" si="1"/>
        <v>#REF!</v>
      </c>
    </row>
    <row r="85" spans="1:12" hidden="1" x14ac:dyDescent="0.35">
      <c r="A85" s="182"/>
      <c r="B85" s="20" t="b">
        <f>IF('SF10 BACK'!A63="Core","Core",IF('SF10 BACK'!A63="Applied","Applied",IF('SF10 BACK'!A63="Specialized","Specialized",IF('SF10 BACK'!A63="Other_Subjects","Other_Subjects"))))</f>
        <v>0</v>
      </c>
      <c r="I85" s="183"/>
      <c r="J85" s="1">
        <f>'SF10 BACK'!I83</f>
        <v>0</v>
      </c>
      <c r="K85" s="1" t="str">
        <f>'SF10 BACK'!BI83</f>
        <v/>
      </c>
      <c r="L85" s="6" t="str">
        <f t="shared" si="1"/>
        <v/>
      </c>
    </row>
    <row r="86" spans="1:12" hidden="1" x14ac:dyDescent="0.35">
      <c r="A86" s="182"/>
      <c r="B86" s="20" t="b">
        <f>IF('SF10 BACK'!A64="Core","Core",IF('SF10 BACK'!A64="Applied","Applied",IF('SF10 BACK'!A64="Specialized","Specialized",IF('SF10 BACK'!A64="Other_Subjects","Other_Subjects"))))</f>
        <v>0</v>
      </c>
      <c r="I86" s="183"/>
      <c r="J86" s="1">
        <f>'SF10 BACK'!I84</f>
        <v>0</v>
      </c>
      <c r="K86" s="1" t="str">
        <f>'SF10 BACK'!BI84</f>
        <v/>
      </c>
      <c r="L86" s="6" t="str">
        <f t="shared" si="1"/>
        <v/>
      </c>
    </row>
    <row r="87" spans="1:12" hidden="1" x14ac:dyDescent="0.35">
      <c r="A87" s="182"/>
      <c r="B87" s="20" t="b">
        <f>IF('SF10 BACK'!A65="Core","Core",IF('SF10 BACK'!A65="Applied","Applied",IF('SF10 BACK'!A65="Specialized","Specialized",IF('SF10 BACK'!A65="Other_Subjects","Other_Subjects"))))</f>
        <v>0</v>
      </c>
      <c r="L87" s="6" t="str">
        <f t="shared" si="1"/>
        <v/>
      </c>
    </row>
    <row r="88" spans="1:12" hidden="1" x14ac:dyDescent="0.35">
      <c r="A88" s="182">
        <v>8</v>
      </c>
      <c r="B88" s="18" t="b">
        <f>IF('SF10 BACK'!A81="Core","Core",IF('SF10 BACK'!A81="Applied","Applied",IF('SF10 BACK'!A81="Specialized","Specialized",IF('SF10 BACK'!A81="Other_Subjects","Other_Subjects"))))</f>
        <v>0</v>
      </c>
    </row>
    <row r="89" spans="1:12" hidden="1" x14ac:dyDescent="0.35">
      <c r="A89" s="182"/>
      <c r="B89" s="20" t="b">
        <f>IF('SF10 BACK'!A82="Core","Core",IF('SF10 BACK'!A82="Applied","Applied",IF('SF10 BACK'!A82="Specialized","Specialized",IF('SF10 BACK'!A82="Other_Subjects","Other_Subjects"))))</f>
        <v>0</v>
      </c>
    </row>
    <row r="90" spans="1:12" hidden="1" x14ac:dyDescent="0.35">
      <c r="A90" s="182"/>
      <c r="B90" s="20" t="e">
        <f>IF('SF10 BACK'!#REF!="Core","Core",IF('SF10 BACK'!#REF!="Applied","Applied",IF('SF10 BACK'!#REF!="Specialized","Specialized",IF('SF10 BACK'!#REF!="Other_Subjects","Other_Subjects"))))</f>
        <v>#REF!</v>
      </c>
    </row>
    <row r="91" spans="1:12" hidden="1" x14ac:dyDescent="0.35">
      <c r="A91" s="182"/>
      <c r="B91" s="20" t="e">
        <f>IF('SF10 BACK'!#REF!="Core","Core",IF('SF10 BACK'!#REF!="Applied","Applied",IF('SF10 BACK'!#REF!="Specialized","Specialized",IF('SF10 BACK'!#REF!="Other_Subjects","Other_Subjects"))))</f>
        <v>#REF!</v>
      </c>
    </row>
    <row r="92" spans="1:12" hidden="1" x14ac:dyDescent="0.35">
      <c r="A92" s="182"/>
      <c r="B92" s="20" t="e">
        <f>IF('SF10 BACK'!#REF!="Core","Core",IF('SF10 BACK'!#REF!="Applied","Applied",IF('SF10 BACK'!#REF!="Specialized","Specialized",IF('SF10 BACK'!#REF!="Other_Subjects","Other_Subjects"))))</f>
        <v>#REF!</v>
      </c>
    </row>
    <row r="93" spans="1:12" hidden="1" x14ac:dyDescent="0.35">
      <c r="A93" s="182"/>
      <c r="B93" s="20" t="e">
        <f>IF('SF10 BACK'!#REF!="Core","Core",IF('SF10 BACK'!#REF!="Applied","Applied",IF('SF10 BACK'!#REF!="Specialized","Specialized",IF('SF10 BACK'!#REF!="Other_Subjects","Other_Subjects"))))</f>
        <v>#REF!</v>
      </c>
    </row>
    <row r="94" spans="1:12" hidden="1" x14ac:dyDescent="0.35">
      <c r="A94" s="182"/>
      <c r="B94" s="20" t="b">
        <f>IF('SF10 BACK'!A83="Core","Core",IF('SF10 BACK'!A83="Applied","Applied",IF('SF10 BACK'!A83="Specialized","Specialized",IF('SF10 BACK'!A83="Other_Subjects","Other_Subjects"))))</f>
        <v>0</v>
      </c>
    </row>
    <row r="95" spans="1:12" hidden="1" x14ac:dyDescent="0.35">
      <c r="A95" s="182"/>
      <c r="B95" s="20" t="b">
        <f>IF('SF10 BACK'!A84="Core","Core",IF('SF10 BACK'!A84="Applied","Applied",IF('SF10 BACK'!A84="Specialized","Specialized",IF('SF10 BACK'!A84="Other_Subjects","Other_Subjects"))))</f>
        <v>0</v>
      </c>
    </row>
    <row r="96" spans="1:12" hidden="1" x14ac:dyDescent="0.35">
      <c r="A96" s="182"/>
      <c r="B96" s="20" t="b">
        <f>IF('SF10 BACK'!A85="Core","Core",IF('SF10 BACK'!A85="Applied","Applied",IF('SF10 BACK'!A85="Specialized","Specialized",IF('SF10 BACK'!A85="Other_Subjects","Other_Subjects"))))</f>
        <v>0</v>
      </c>
    </row>
    <row r="97" spans="1:2" hidden="1" x14ac:dyDescent="0.35">
      <c r="A97" s="182"/>
      <c r="B97" s="20" t="b">
        <f>IF('SF10 BACK'!A86="Core","Core",IF('SF10 BACK'!A86="Applied","Applied",IF('SF10 BACK'!A86="Specialized","Specialized",IF('SF10 BACK'!A86="Other_Subjects","Other_Subjects"))))</f>
        <v>0</v>
      </c>
    </row>
    <row r="98" spans="1:2" hidden="1" x14ac:dyDescent="0.35">
      <c r="A98" s="182"/>
      <c r="B98" s="20" t="b">
        <f>IF('SF10 BACK'!A87="Core","Core",IF('SF10 BACK'!A87="Applied","Applied",IF('SF10 BACK'!A87="Specialized","Specialized",IF('SF10 BACK'!A87="Other_Subjects","Other_Subjects"))))</f>
        <v>0</v>
      </c>
    </row>
    <row r="99" spans="1:2" hidden="1" x14ac:dyDescent="0.35">
      <c r="A99" s="182"/>
      <c r="B99" s="22" t="b">
        <f>IF('SF10 BACK'!A88="Core","Core",IF('SF10 BACK'!A88="Applied","Applied",IF('SF10 BACK'!A88="Specialized","Specialized",IF('SF10 BACK'!A88="Other_Subjects","Other_Subjects"))))</f>
        <v>0</v>
      </c>
    </row>
    <row r="100" spans="1:2" x14ac:dyDescent="0.35">
      <c r="A100" s="128"/>
    </row>
    <row r="101" spans="1:2" x14ac:dyDescent="0.35">
      <c r="A101" s="128"/>
    </row>
    <row r="102" spans="1:2" x14ac:dyDescent="0.35">
      <c r="A102" s="128"/>
    </row>
    <row r="103" spans="1:2" x14ac:dyDescent="0.35">
      <c r="A103" s="128"/>
    </row>
    <row r="104" spans="1:2" x14ac:dyDescent="0.35">
      <c r="A104" s="128"/>
    </row>
    <row r="105" spans="1:2" x14ac:dyDescent="0.35">
      <c r="A105" s="128"/>
    </row>
    <row r="106" spans="1:2" x14ac:dyDescent="0.35">
      <c r="A106" s="128"/>
    </row>
    <row r="107" spans="1:2" x14ac:dyDescent="0.35">
      <c r="A107" s="128"/>
    </row>
    <row r="108" spans="1:2" x14ac:dyDescent="0.35">
      <c r="A108" s="128"/>
    </row>
    <row r="109" spans="1:2" x14ac:dyDescent="0.35">
      <c r="A109" s="128"/>
    </row>
    <row r="110" spans="1:2" x14ac:dyDescent="0.35">
      <c r="A110" s="128"/>
    </row>
    <row r="111" spans="1:2" x14ac:dyDescent="0.35">
      <c r="A111" s="128"/>
    </row>
  </sheetData>
  <sheetProtection algorithmName="SHA-512" hashValue="XqJbN5JKlP+ckWcE0PzoeoXVS8JnDiO4097HrrK8ZQKjHGMcRFiop9Y7TDMK7yRiWdRd+E9s3p8dSxbf8JoUUQ==" saltValue="K671/WoBHk5CiYX06pGHWQ==" spinCount="100000" sheet="1" objects="1" scenarios="1"/>
  <customSheetViews>
    <customSheetView guid="{10225561-8BCB-4AAB-A96B-034D76D8C0EB}" hiddenRows="1" state="veryHidden">
      <selection activeCell="B1" sqref="B1:E1"/>
      <pageMargins left="0" right="0" top="0" bottom="0" header="0" footer="0"/>
      <pageSetup orientation="portrait" horizontalDpi="4294967293" verticalDpi="0"/>
    </customSheetView>
  </customSheetViews>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fdff0c6-44e9-41c9-94fe-f76b8b6f58e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C07AFB6C45F54591030CE9D3255067" ma:contentTypeVersion="13" ma:contentTypeDescription="Create a new document." ma:contentTypeScope="" ma:versionID="4c992160e5cdca2fb0155c72ce4ab1a9">
  <xsd:schema xmlns:xsd="http://www.w3.org/2001/XMLSchema" xmlns:xs="http://www.w3.org/2001/XMLSchema" xmlns:p="http://schemas.microsoft.com/office/2006/metadata/properties" xmlns:ns3="8fdff0c6-44e9-41c9-94fe-f76b8b6f58e9" targetNamespace="http://schemas.microsoft.com/office/2006/metadata/properties" ma:root="true" ma:fieldsID="ed765bf77316c6f09eeebca066f41e28" ns3:_="">
    <xsd:import namespace="8fdff0c6-44e9-41c9-94fe-f76b8b6f58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ff0c6-44e9-41c9-94fe-f76b8b6f5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96841-F5E7-40C6-B27E-A728DC4E61CC}">
  <ds:schemaRefs>
    <ds:schemaRef ds:uri="http://purl.org/dc/terms/"/>
    <ds:schemaRef ds:uri="http://schemas.openxmlformats.org/package/2006/metadata/core-properties"/>
    <ds:schemaRef ds:uri="8fdff0c6-44e9-41c9-94fe-f76b8b6f58e9"/>
    <ds:schemaRef ds:uri="http://schemas.microsoft.com/office/2006/documentManagement/type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B2E1268-C858-4259-9207-5445B4970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ff0c6-44e9-41c9-94fe-f76b8b6f5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B48965-0575-412E-8BA7-9D6FA98ED907}">
  <ds:schemaRefs>
    <ds:schemaRef ds:uri="http://schemas.microsoft.com/DataMashup"/>
  </ds:schemaRefs>
</ds:datastoreItem>
</file>

<file path=customXml/itemProps4.xml><?xml version="1.0" encoding="utf-8"?>
<ds:datastoreItem xmlns:ds="http://schemas.openxmlformats.org/officeDocument/2006/customXml" ds:itemID="{6B990A02-C5E9-4915-A8A2-C75EBDD1DA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SF10 FRONT</vt:lpstr>
      <vt:lpstr>SF10 BACK</vt:lpstr>
      <vt:lpstr>Applied</vt:lpstr>
      <vt:lpstr>Core</vt:lpstr>
      <vt:lpstr>ngoyab</vt:lpstr>
      <vt:lpstr>Other_Subjects</vt:lpstr>
      <vt:lpstr>'SF10 BACK'!Print_Area</vt:lpstr>
      <vt:lpstr>'SF10 FRONT'!Print_Area</vt:lpstr>
      <vt:lpstr>Specialized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SF10-SHS</cp:keywords>
  <dc:description/>
  <cp:lastModifiedBy>Jason Ochava</cp:lastModifiedBy>
  <cp:revision/>
  <cp:lastPrinted>2025-02-04T23:43:30Z</cp:lastPrinted>
  <dcterms:created xsi:type="dcterms:W3CDTF">2016-08-03T07:51:07Z</dcterms:created>
  <dcterms:modified xsi:type="dcterms:W3CDTF">2025-11-24T18:55:42Z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0x0101004AC07AFB6C45F54591030CE9D3255067</vt:lpwstr>
  </property>
</Properties>
</file>