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codeName="ThisWorkbook" autoCompressPictures="0"/>
  <mc:AlternateContent xmlns:mc="http://schemas.openxmlformats.org/markup-compatibility/2006">
    <mc:Choice Requires="x15">
      <x15ac:absPath xmlns:x15ac="http://schemas.microsoft.com/office/spreadsheetml/2010/11/ac" url="C:\xampp\htdocs\systemngdihs\templates\"/>
    </mc:Choice>
  </mc:AlternateContent>
  <xr:revisionPtr revIDLastSave="0" documentId="13_ncr:1_{01F8E48C-3570-46A3-8076-DE1D49CA160A}" xr6:coauthVersionLast="47" xr6:coauthVersionMax="47" xr10:uidLastSave="{00000000-0000-0000-0000-000000000000}"/>
  <bookViews>
    <workbookView xWindow="-120" yWindow="-120" windowWidth="21840" windowHeight="13020" tabRatio="500" activeTab="2" xr2:uid="{00000000-000D-0000-FFFF-FFFF00000000}"/>
  </bookViews>
  <sheets>
    <sheet name="FRONT" sheetId="4" r:id="rId1"/>
    <sheet name="BACK" sheetId="5" r:id="rId2"/>
    <sheet name="ANNEX" sheetId="6" r:id="rId3"/>
  </sheets>
  <definedNames>
    <definedName name="Applied">#REF!</definedName>
    <definedName name="Core">#REF!</definedName>
    <definedName name="ngoyab">FRONT!$A$6:$BO$20</definedName>
    <definedName name="Other_Subjects">#REF!</definedName>
    <definedName name="_xlnm.Print_Area" localSheetId="0">FRONT!$A$1:$BO$106</definedName>
    <definedName name="Specialized">#REF!</definedName>
  </definedNames>
  <calcPr calcId="191029" concurrentCalc="0"/>
  <extLst>
    <ext xmlns:mx="http://schemas.microsoft.com/office/mac/excel/2008/main" uri="{7523E5D3-25F3-A5E0-1632-64F254C22452}">
      <mx:ArchID Flags="2"/>
    </ext>
  </extLst>
</workbook>
</file>

<file path=xl/calcChain.xml><?xml version="1.0" encoding="utf-8"?>
<calcChain xmlns="http://schemas.openxmlformats.org/spreadsheetml/2006/main">
  <c r="AT29" i="4" l="1"/>
  <c r="I1" i="5"/>
  <c r="BD59" i="4"/>
  <c r="BI59" i="4"/>
  <c r="BD60" i="5"/>
  <c r="BI60" i="5"/>
  <c r="BD55" i="5"/>
  <c r="BI55" i="5"/>
  <c r="BD56" i="5"/>
  <c r="BI56" i="5"/>
  <c r="BD57" i="5"/>
  <c r="BI57" i="5"/>
  <c r="BD58" i="5"/>
  <c r="BI58" i="5"/>
  <c r="BD59" i="5"/>
  <c r="BI59" i="5"/>
  <c r="BD61" i="5"/>
  <c r="BI61" i="5"/>
  <c r="BD62" i="5"/>
  <c r="BI62" i="5"/>
  <c r="BD63" i="5"/>
  <c r="BI63" i="5"/>
  <c r="BD64" i="5"/>
  <c r="BI64" i="5"/>
  <c r="BD65" i="5"/>
  <c r="BI65" i="5"/>
  <c r="BD22" i="5"/>
  <c r="BI22" i="5"/>
  <c r="BD12" i="5"/>
  <c r="BI12" i="5"/>
  <c r="BD13" i="5"/>
  <c r="BI13" i="5"/>
  <c r="BD14" i="5"/>
  <c r="BI14" i="5"/>
  <c r="BD15" i="5"/>
  <c r="BI15" i="5"/>
  <c r="BD16" i="5"/>
  <c r="BI16" i="5"/>
  <c r="BD17" i="5"/>
  <c r="BI17" i="5"/>
  <c r="BD18" i="5"/>
  <c r="BI18" i="5"/>
  <c r="BD19" i="5"/>
  <c r="BI19" i="5"/>
  <c r="BD20" i="5"/>
  <c r="BI20" i="5"/>
  <c r="BD21" i="5"/>
  <c r="BI21" i="5"/>
  <c r="BD75" i="4"/>
  <c r="BI75" i="4"/>
  <c r="BD76" i="4"/>
  <c r="BI76" i="4"/>
  <c r="BD77" i="4"/>
  <c r="BI77" i="4"/>
  <c r="BD78" i="4"/>
  <c r="BI78" i="4"/>
  <c r="BD79" i="4"/>
  <c r="BI79" i="4"/>
  <c r="BD80" i="4"/>
  <c r="BI80" i="4"/>
  <c r="BD81" i="4"/>
  <c r="BI81" i="4"/>
  <c r="BD82" i="4"/>
  <c r="BI82" i="4"/>
  <c r="BD83" i="4"/>
  <c r="BI83" i="4"/>
  <c r="BD84" i="4"/>
  <c r="BI84" i="4"/>
  <c r="BD85" i="4"/>
  <c r="BI85" i="4"/>
  <c r="BD32" i="4"/>
  <c r="BI32" i="4"/>
  <c r="BD33" i="4"/>
  <c r="BI33" i="4"/>
  <c r="BD34" i="4"/>
  <c r="BI34" i="4"/>
  <c r="BD35" i="4"/>
  <c r="BI35" i="4"/>
  <c r="BD36" i="4"/>
  <c r="BI36" i="4"/>
  <c r="BD37" i="4"/>
  <c r="BI37" i="4"/>
  <c r="BD38" i="4"/>
  <c r="BI38" i="4"/>
  <c r="BD39" i="4"/>
  <c r="BI39" i="4"/>
  <c r="BD40" i="4"/>
  <c r="BI40" i="4"/>
  <c r="BD41" i="4"/>
  <c r="BI41" i="4"/>
  <c r="BD42" i="4"/>
  <c r="BI42" i="4"/>
  <c r="BD74" i="4"/>
  <c r="BD84" i="5"/>
  <c r="BI84" i="5"/>
  <c r="BD83" i="5"/>
  <c r="BI83" i="5"/>
  <c r="BD82" i="5"/>
  <c r="BI82" i="5"/>
  <c r="BD81" i="5"/>
  <c r="BI81" i="5"/>
  <c r="BD41" i="5"/>
  <c r="BI41" i="5"/>
  <c r="BD40" i="5"/>
  <c r="BI40" i="5"/>
  <c r="BD39" i="5"/>
  <c r="BI39" i="5"/>
  <c r="BD38" i="5"/>
  <c r="BI38" i="5"/>
  <c r="BD104" i="4"/>
  <c r="BI104" i="4"/>
  <c r="BD103" i="4"/>
  <c r="BI103" i="4"/>
  <c r="BD102" i="4"/>
  <c r="BI102" i="4"/>
  <c r="BD101" i="4"/>
  <c r="BI101" i="4"/>
  <c r="BD61" i="4"/>
  <c r="BI61" i="4"/>
  <c r="BD60" i="4"/>
  <c r="BI60" i="4"/>
  <c r="BD58" i="4"/>
  <c r="BI58" i="4"/>
  <c r="BD54" i="5"/>
  <c r="BD11" i="5"/>
  <c r="AY52" i="5"/>
  <c r="AT52" i="5"/>
  <c r="AY9" i="5"/>
  <c r="AT9" i="5"/>
  <c r="AY72" i="4"/>
  <c r="AT72" i="4"/>
  <c r="AY29" i="4"/>
  <c r="BD31" i="4"/>
  <c r="BD66" i="5"/>
  <c r="BI66" i="5"/>
  <c r="BD23" i="5"/>
  <c r="BI23" i="5"/>
  <c r="BD86" i="4"/>
  <c r="BI86" i="4"/>
  <c r="BI31" i="4"/>
  <c r="BD43" i="4"/>
  <c r="BI43" i="4"/>
  <c r="BI54" i="5"/>
  <c r="BI11" i="5"/>
  <c r="BI74" i="4"/>
  <c r="BK90" i="5"/>
</calcChain>
</file>

<file path=xl/sharedStrings.xml><?xml version="1.0" encoding="utf-8"?>
<sst xmlns="http://schemas.openxmlformats.org/spreadsheetml/2006/main" count="207" uniqueCount="102">
  <si>
    <t>CORE SUBJECTS</t>
  </si>
  <si>
    <t>Quarter</t>
  </si>
  <si>
    <t>ACTION TAKEN</t>
  </si>
  <si>
    <t>SY:</t>
  </si>
  <si>
    <t>SEM:</t>
  </si>
  <si>
    <t>SECTION:</t>
  </si>
  <si>
    <t>SENIOR HIGH SCHOOL STUDENT PERMANENT RECORD</t>
  </si>
  <si>
    <t>NOTE:</t>
  </si>
  <si>
    <t>Signature:</t>
  </si>
  <si>
    <t>FORM 137-SHS</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</si>
  <si>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</si>
  <si>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</si>
  <si>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</si>
  <si>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</si>
  <si>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</si>
  <si>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</si>
  <si>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</si>
  <si>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</si>
  <si>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</si>
  <si>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</si>
  <si>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</si>
  <si>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</si>
  <si>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</si>
  <si>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</si>
  <si>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</si>
  <si>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</si>
  <si>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</si>
  <si>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</si>
  <si>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</si>
  <si>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</si>
  <si>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</si>
  <si>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</si>
  <si>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</si>
  <si>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</si>
  <si>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</si>
  <si>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</si>
  <si>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</si>
  <si>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</si>
  <si>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</si>
  <si>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</si>
  <si>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</si>
  <si>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</si>
  <si>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</si>
  <si>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</si>
  <si>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</si>
  <si>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</si>
  <si>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</si>
  <si>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</si>
  <si>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</si>
  <si>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</si>
  <si>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</si>
  <si>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</si>
  <si>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</si>
  <si>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</si>
  <si>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</si>
  <si>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</si>
  <si>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</si>
  <si>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</si>
  <si>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</si>
  <si>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</si>
  <si>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</si>
  <si>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</si>
  <si>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</si>
  <si>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</si>
  <si>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</si>
  <si>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</si>
  <si>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</si>
  <si>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School Address:</t>
  </si>
  <si>
    <t>Name of School:</t>
  </si>
  <si>
    <t>Indicate if Subject is CORE, APPLIED, or SPECIALIZED</t>
  </si>
  <si>
    <t>Page 2</t>
  </si>
  <si>
    <t>Form 137-SHS</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</si>
  <si>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</si>
  <si>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</si>
  <si>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</si>
  <si>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</si>
  <si>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</si>
  <si>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</si>
  <si>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</si>
  <si>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</si>
  <si>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</si>
  <si>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</si>
  <si>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</si>
  <si>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ngoyab</t>
  </si>
  <si>
    <r>
      <rPr>
        <b/>
        <sz val="12"/>
        <color theme="1"/>
        <rFont val="Arial Narrow"/>
        <family val="2"/>
      </rPr>
      <t>REMARKS:</t>
    </r>
    <r>
      <rPr>
        <sz val="12"/>
        <color theme="1"/>
        <rFont val="Arial Narrow"/>
        <family val="2"/>
      </rPr>
      <t xml:space="preserve"> </t>
    </r>
    <r>
      <rPr>
        <i/>
        <sz val="12"/>
        <color theme="1"/>
        <rFont val="Arial Narrow"/>
        <family val="2"/>
      </rPr>
      <t>(Please indicate the purpose for which this permanent record will be used)</t>
    </r>
  </si>
  <si>
    <r>
      <t xml:space="preserve">OTHER SUBJECTS </t>
    </r>
    <r>
      <rPr>
        <b/>
        <i/>
        <sz val="12"/>
        <color theme="1"/>
        <rFont val="Arial Narrow"/>
        <family val="2"/>
      </rPr>
      <t>(Please write the list of subjects below)</t>
    </r>
  </si>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</sst>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18"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s>
  <fills count="3">
    <fill>
      <patternFill patternType="none"/>
    </fill>
    <fill>
      <patternFill patternType="gray125"/>
    </fill>
    <fill>
      <patternFill patternType="solid">
        <fgColor theme="0" tint="-0.249977111117893"/>
        <bgColor indexed="64"/>
      </patternFill>
    </fill>
  </fills>
  <borders count="3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59">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60">
    <xf numFmtId="0" fontId="0" fillId="0" borderId="0" xfId="0"/>
    <xf numFmtId="0" fontId="13" fillId="0" borderId="1" xfId="0" applyFont="1" applyBorder="1" applyAlignment="1" applyProtection="1">
      <alignment horizontal="center" vertical="center"/>
      <protection locked="0"/>
    </xf>
    <xf numFmtId="0" fontId="2" fillId="0" borderId="15" xfId="0" applyFont="1" applyBorder="1" applyAlignment="1" applyProtection="1">
      <alignment horizontal="right"/>
      <protection hidden="1"/>
    </xf>
    <xf numFmtId="0" fontId="1" fillId="0" borderId="0" xfId="0" applyFont="1" applyProtection="1">
      <protection hidden="1"/>
    </xf>
    <xf numFmtId="0" fontId="2" fillId="0" borderId="15" xfId="0" applyFont="1" applyBorder="1" applyProtection="1">
      <protection hidden="1"/>
    </xf>
    <xf numFmtId="0" fontId="2" fillId="0" borderId="15" xfId="0" applyFont="1" applyBorder="1" applyAlignment="1" applyProtection="1">
      <alignment horizontal="left"/>
      <protection hidden="1"/>
    </xf>
    <xf numFmtId="0" fontId="13" fillId="0" borderId="1" xfId="0" applyFont="1" applyBorder="1" applyAlignment="1" applyProtection="1">
      <alignment horizontal="center" vertical="center"/>
      <protection hidden="1"/>
    </xf>
    <xf numFmtId="0" fontId="13" fillId="0" borderId="0" xfId="0" applyFont="1" applyProtection="1">
      <protection hidden="1"/>
    </xf>
    <xf numFmtId="0" fontId="2" fillId="0" borderId="0" xfId="0" applyFont="1" applyProtection="1">
      <protection hidden="1"/>
    </xf>
    <xf numFmtId="0" fontId="17" fillId="0" borderId="0" xfId="0" applyFont="1" applyProtection="1">
      <protection hidden="1"/>
    </xf>
    <xf numFmtId="0" fontId="0" fillId="0" borderId="0" xfId="0" applyProtection="1">
      <protection hidden="1"/>
    </xf>
    <xf numFmtId="0" fontId="14" fillId="0" borderId="0" xfId="0" applyFont="1" applyAlignment="1" applyProtection="1">
      <alignment vertical="top"/>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7" fillId="0" borderId="0" xfId="0" applyFont="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0" xfId="0" applyAlignment="1" applyProtection="1">
      <alignment vertical="center"/>
      <protection hidden="1"/>
    </xf>
    <xf numFmtId="0" fontId="1" fillId="0" borderId="15" xfId="0" applyFont="1" applyBorder="1" applyProtection="1">
      <protection hidden="1"/>
    </xf>
    <xf numFmtId="0" fontId="12" fillId="0" borderId="0" xfId="0" applyFont="1" applyProtection="1">
      <protection hidden="1"/>
    </xf>
    <xf numFmtId="0" fontId="13" fillId="0" borderId="0" xfId="0" applyFont="1" applyAlignment="1" applyProtection="1">
      <alignment horizontal="center" vertical="center"/>
      <protection hidden="1"/>
    </xf>
    <xf numFmtId="0" fontId="2" fillId="0" borderId="1" xfId="0" applyFont="1" applyBorder="1" applyAlignment="1" applyProtection="1">
      <alignment horizontal="center" vertical="center"/>
      <protection locked="0"/>
    </xf>
    <xf numFmtId="0" fontId="10" fillId="0" borderId="0" xfId="0" applyFont="1" applyProtection="1">
      <protection hidden="1"/>
    </xf>
    <xf numFmtId="0" fontId="6" fillId="0" borderId="0" xfId="0" applyFont="1" applyAlignment="1" applyProtection="1">
      <alignment vertical="center"/>
      <protection hidden="1"/>
    </xf>
    <xf numFmtId="165" fontId="2" fillId="0" borderId="0" xfId="0" applyNumberFormat="1" applyFont="1" applyProtection="1">
      <protection hidden="1"/>
    </xf>
    <xf numFmtId="0" fontId="1" fillId="0" borderId="9" xfId="0" applyFont="1" applyBorder="1" applyProtection="1">
      <protection hidden="1"/>
    </xf>
    <xf numFmtId="0" fontId="15" fillId="0" borderId="0" xfId="0" applyFont="1" applyProtection="1">
      <protection hidden="1"/>
    </xf>
    <xf numFmtId="164" fontId="1" fillId="0" borderId="0" xfId="0" applyNumberFormat="1" applyFont="1" applyProtection="1">
      <protection hidden="1"/>
    </xf>
    <xf numFmtId="1" fontId="2" fillId="0" borderId="0" xfId="0" applyNumberFormat="1" applyFont="1" applyProtection="1">
      <protection hidden="1"/>
    </xf>
    <xf numFmtId="164" fontId="2" fillId="0" borderId="0" xfId="0" applyNumberFormat="1" applyFont="1" applyProtection="1">
      <protection hidden="1"/>
    </xf>
    <xf numFmtId="0" fontId="2" fillId="0" borderId="0" xfId="0" applyFont="1" applyAlignment="1" applyProtection="1">
      <alignment shrinkToFit="1"/>
      <protection hidden="1"/>
    </xf>
    <xf numFmtId="0" fontId="16" fillId="0" borderId="0" xfId="0" applyFont="1" applyProtection="1">
      <protection hidden="1"/>
    </xf>
    <xf numFmtId="0" fontId="1" fillId="0" borderId="25"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hidden="1"/>
    </xf>
    <xf numFmtId="0" fontId="1" fillId="0" borderId="23" xfId="0" applyFont="1" applyBorder="1" applyAlignment="1" applyProtection="1">
      <alignment horizontal="center" vertic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17"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0" xfId="0" applyFont="1" applyAlignment="1" applyProtection="1">
      <alignment horizontal="left"/>
      <protection hidden="1"/>
    </xf>
    <xf numFmtId="0" fontId="2" fillId="2" borderId="20"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1" xfId="0" applyFont="1" applyFill="1" applyBorder="1" applyAlignment="1" applyProtection="1">
      <alignment horizontal="center" vertical="center" wrapText="1"/>
      <protection hidden="1"/>
    </xf>
    <xf numFmtId="0" fontId="2" fillId="2" borderId="23" xfId="0" applyFont="1" applyFill="1" applyBorder="1" applyAlignment="1" applyProtection="1">
      <alignment horizontal="center" vertical="center" wrapText="1"/>
      <protection hidden="1"/>
    </xf>
    <xf numFmtId="0" fontId="1" fillId="0" borderId="12" xfId="0" applyFont="1" applyBorder="1" applyAlignment="1" applyProtection="1">
      <alignment horizontal="left" shrinkToFit="1"/>
      <protection locked="0"/>
    </xf>
    <xf numFmtId="0" fontId="2" fillId="2" borderId="16"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0" xfId="0" applyFont="1" applyFill="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protection hidden="1"/>
    </xf>
    <xf numFmtId="0" fontId="2" fillId="2" borderId="17"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0" xfId="0" applyFont="1" applyAlignment="1" applyProtection="1">
      <alignment horizontal="right"/>
      <protection hidden="1"/>
    </xf>
    <xf numFmtId="0" fontId="5" fillId="0" borderId="0" xfId="0" applyFont="1" applyAlignment="1" applyProtection="1">
      <alignment horizontal="right" vertical="center"/>
      <protection hidden="1"/>
    </xf>
    <xf numFmtId="0" fontId="2" fillId="0" borderId="12" xfId="0" applyFont="1" applyBorder="1" applyAlignment="1" applyProtection="1">
      <alignment horizontal="left"/>
      <protection locked="0"/>
    </xf>
    <xf numFmtId="0" fontId="13" fillId="0" borderId="12" xfId="0" applyFont="1" applyBorder="1" applyAlignment="1" applyProtection="1">
      <alignment horizontal="left"/>
      <protection locked="0"/>
    </xf>
    <xf numFmtId="0" fontId="2" fillId="2" borderId="27" xfId="0" applyFont="1" applyFill="1" applyBorder="1" applyAlignment="1" applyProtection="1">
      <alignment horizontal="right"/>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0" borderId="12" xfId="0" applyFont="1" applyBorder="1" applyAlignment="1" applyProtection="1">
      <alignment horizontal="center"/>
      <protection locked="0"/>
    </xf>
    <xf numFmtId="164" fontId="2" fillId="0" borderId="12" xfId="0" applyNumberFormat="1" applyFont="1" applyBorder="1" applyAlignment="1" applyProtection="1">
      <alignment horizontal="center"/>
      <protection locked="0"/>
    </xf>
    <xf numFmtId="0" fontId="1" fillId="0" borderId="7" xfId="0" applyFont="1" applyBorder="1" applyAlignment="1" applyProtection="1">
      <alignment horizont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2" fillId="0" borderId="12" xfId="0" applyFont="1" applyBorder="1" applyAlignment="1" applyProtection="1">
      <alignment horizontal="left" shrinkToFit="1"/>
      <protection locked="0"/>
    </xf>
    <xf numFmtId="0" fontId="1" fillId="0" borderId="30" xfId="0" applyFont="1" applyBorder="1" applyAlignment="1" applyProtection="1">
      <alignment horizontal="center" vertical="center"/>
      <protection hidden="1"/>
    </xf>
    <xf numFmtId="0" fontId="1" fillId="0" borderId="28"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1" xfId="0" applyFont="1" applyBorder="1" applyAlignment="1" applyProtection="1">
      <alignment horizontal="center" vertical="center"/>
      <protection hidden="1"/>
    </xf>
    <xf numFmtId="0" fontId="2" fillId="2" borderId="14" xfId="0" applyFont="1" applyFill="1" applyBorder="1" applyAlignment="1" applyProtection="1">
      <alignment horizontal="center" vertical="center" wrapText="1"/>
      <protection hidden="1"/>
    </xf>
    <xf numFmtId="0" fontId="1" fillId="0" borderId="2" xfId="0" applyFont="1" applyBorder="1" applyAlignment="1" applyProtection="1">
      <alignment horizontal="center" vertical="center"/>
      <protection locked="0"/>
    </xf>
    <xf numFmtId="0" fontId="1" fillId="0" borderId="13" xfId="0" applyFont="1" applyBorder="1" applyAlignment="1" applyProtection="1">
      <alignment horizontal="center" vertical="center"/>
      <protection locked="0"/>
    </xf>
    <xf numFmtId="0" fontId="13" fillId="0" borderId="0" xfId="0" applyFont="1" applyAlignment="1" applyProtection="1">
      <alignment horizontal="center"/>
      <protection hidden="1"/>
    </xf>
    <xf numFmtId="0" fontId="1" fillId="0" borderId="30" xfId="0" applyFont="1" applyBorder="1" applyAlignment="1" applyProtection="1">
      <alignment horizontal="left" vertical="center"/>
      <protection locked="0"/>
    </xf>
    <xf numFmtId="0" fontId="1" fillId="0" borderId="28"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14" xfId="0" applyFont="1" applyBorder="1" applyAlignment="1" applyProtection="1">
      <alignment horizontal="center" vertical="center"/>
      <protection locked="0"/>
    </xf>
    <xf numFmtId="0" fontId="1" fillId="0" borderId="26" xfId="0" applyFont="1" applyBorder="1" applyAlignment="1" applyProtection="1">
      <alignment horizontal="center" vertical="center"/>
      <protection hidden="1"/>
    </xf>
    <xf numFmtId="0" fontId="15" fillId="0" borderId="0" xfId="0" applyFont="1" applyAlignment="1" applyProtection="1">
      <alignment horizontal="center"/>
      <protection hidden="1"/>
    </xf>
    <xf numFmtId="0" fontId="2" fillId="2" borderId="0" xfId="0" applyFont="1" applyFill="1" applyAlignment="1" applyProtection="1">
      <alignment horizontal="center"/>
      <protection hidden="1"/>
    </xf>
    <xf numFmtId="0" fontId="1" fillId="0" borderId="0" xfId="0" applyFont="1" applyAlignment="1" applyProtection="1">
      <alignment horizontal="center"/>
      <protection hidden="1"/>
    </xf>
    <xf numFmtId="0" fontId="2" fillId="0" borderId="15" xfId="0" applyFont="1" applyBorder="1" applyAlignment="1" applyProtection="1">
      <alignment horizontal="center"/>
      <protection hidden="1"/>
    </xf>
    <xf numFmtId="0" fontId="1" fillId="0" borderId="0" xfId="0" applyFont="1" applyAlignment="1" applyProtection="1">
      <alignment horizontal="left"/>
      <protection hidden="1"/>
    </xf>
    <xf numFmtId="0" fontId="1" fillId="0" borderId="0" xfId="0" applyFont="1" applyAlignment="1" applyProtection="1">
      <alignment horizontal="right"/>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164" fontId="2" fillId="0" borderId="3" xfId="0" applyNumberFormat="1" applyFont="1" applyBorder="1" applyAlignment="1" applyProtection="1">
      <alignment horizontal="left"/>
      <protection locked="0"/>
    </xf>
    <xf numFmtId="0" fontId="1" fillId="0" borderId="0" xfId="0" applyFont="1" applyAlignment="1" applyProtection="1">
      <alignment horizontal="center" vertical="center"/>
      <protection hidden="1"/>
    </xf>
    <xf numFmtId="0" fontId="1" fillId="0" borderId="0" xfId="0" applyFont="1" applyAlignment="1" applyProtection="1">
      <alignment horizontal="center" wrapText="1"/>
      <protection hidden="1"/>
    </xf>
    <xf numFmtId="0" fontId="1" fillId="0" borderId="27" xfId="0" applyFont="1" applyBorder="1" applyAlignment="1" applyProtection="1">
      <alignment horizontal="center" vertical="center"/>
      <protection locked="0"/>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2" xfId="0" applyFont="1" applyBorder="1" applyAlignment="1" applyProtection="1">
      <alignment horizontal="center" vertical="center"/>
      <protection locked="0"/>
    </xf>
    <xf numFmtId="0" fontId="1" fillId="0" borderId="32" xfId="0" applyFont="1" applyBorder="1" applyAlignment="1" applyProtection="1">
      <alignment horizontal="center" vertical="center"/>
      <protection hidden="1"/>
    </xf>
    <xf numFmtId="0" fontId="1" fillId="0" borderId="33" xfId="0" applyFont="1" applyBorder="1" applyAlignment="1" applyProtection="1">
      <alignment horizontal="center" vertical="center"/>
      <protection hidden="1"/>
    </xf>
    <xf numFmtId="0" fontId="1" fillId="0" borderId="12" xfId="0" applyFont="1" applyBorder="1" applyAlignment="1" applyProtection="1">
      <alignment horizontal="left"/>
      <protection locked="0"/>
    </xf>
    <xf numFmtId="0" fontId="2" fillId="2" borderId="19"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protection hidden="1"/>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1" fillId="2" borderId="0" xfId="0" applyFont="1" applyFill="1" applyAlignment="1" applyProtection="1">
      <alignment horizontal="center"/>
      <protection hidden="1"/>
    </xf>
    <xf numFmtId="0" fontId="2" fillId="2" borderId="34" xfId="0" applyFont="1" applyFill="1" applyBorder="1" applyAlignment="1" applyProtection="1">
      <alignment horizontal="center" vertical="center" wrapText="1"/>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2" fillId="2" borderId="1" xfId="0" applyFont="1" applyFill="1" applyBorder="1" applyAlignment="1" applyProtection="1">
      <alignment horizontal="center" vertical="center"/>
      <protection hidden="1"/>
    </xf>
    <xf numFmtId="0" fontId="2" fillId="2" borderId="14" xfId="0" applyFont="1" applyFill="1" applyBorder="1" applyAlignment="1" applyProtection="1">
      <alignment horizontal="center" vertical="center"/>
      <protection hidden="1"/>
    </xf>
    <xf numFmtId="164" fontId="2" fillId="0" borderId="12" xfId="0" applyNumberFormat="1" applyFont="1" applyBorder="1" applyAlignment="1" applyProtection="1">
      <alignment horizontal="left" shrinkToFit="1"/>
      <protection locked="0"/>
    </xf>
    <xf numFmtId="0" fontId="13" fillId="0" borderId="12" xfId="0" applyFont="1" applyBorder="1" applyAlignment="1" applyProtection="1">
      <alignment horizontal="left" shrinkToFit="1"/>
      <protection locked="0"/>
    </xf>
    <xf numFmtId="0" fontId="1" fillId="0" borderId="12" xfId="0" applyFont="1" applyBorder="1" applyAlignment="1" applyProtection="1">
      <alignment horizontal="center"/>
      <protection locked="0"/>
    </xf>
    <xf numFmtId="0" fontId="13" fillId="0" borderId="12" xfId="0" applyFont="1" applyBorder="1" applyAlignment="1" applyProtection="1">
      <alignment horizontal="center"/>
      <protection locked="0"/>
    </xf>
    <xf numFmtId="0" fontId="2" fillId="0" borderId="15"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 fillId="0" borderId="0" xfId="0" applyFont="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14" fillId="0" borderId="0" xfId="0" applyFont="1" applyAlignment="1" applyProtection="1">
      <alignment horizontal="center" vertical="top"/>
      <protection hidden="1"/>
    </xf>
    <xf numFmtId="0" fontId="2" fillId="2" borderId="20"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Alignment="1" applyProtection="1">
      <alignment horizontal="center"/>
      <protection locked="0"/>
    </xf>
    <xf numFmtId="0" fontId="1" fillId="0" borderId="0" xfId="0" applyFont="1" applyAlignment="1" applyProtection="1">
      <alignment horizontal="left" vertical="top"/>
      <protection hidden="1"/>
    </xf>
    <xf numFmtId="0" fontId="1" fillId="0" borderId="0" xfId="0" applyFont="1" applyAlignment="1" applyProtection="1">
      <alignment horizontal="left" vertical="top" wrapText="1"/>
      <protection locked="0"/>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3" xfId="0" applyFont="1" applyBorder="1" applyAlignment="1" applyProtection="1">
      <alignment horizontal="left"/>
      <protection locked="0"/>
    </xf>
    <xf numFmtId="0" fontId="12" fillId="0" borderId="12" xfId="0" applyFont="1" applyBorder="1" applyAlignment="1" applyProtection="1">
      <alignment horizontal="left"/>
      <protection locked="0"/>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Alignment="1" applyProtection="1">
      <alignment horizontal="left" vertical="center"/>
      <protection hidden="1"/>
    </xf>
  </cellXfs>
  <cellStyles count="75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G1090"/>
  <sheetViews>
    <sheetView showGridLines="0" topLeftCell="A4" zoomScale="55" zoomScaleNormal="55" zoomScalePageLayoutView="125" workbookViewId="0">
      <selection activeCell="AY29" sqref="AY29:BC30"/>
    </sheetView>
  </sheetViews>
  <sheetFormatPr defaultColWidth="10.875" defaultRowHeight="15.75" x14ac:dyDescent="0.25"/>
  <cols>
    <col min="1" max="1" width="2.875" style="3" customWidth="1"/>
    <col min="2" max="2" width="1.625" style="3" customWidth="1"/>
    <col min="3" max="3" width="2.375" style="3" customWidth="1"/>
    <col min="4" max="4" width="2" style="3" customWidth="1"/>
    <col min="5" max="5" width="1.625" style="3" customWidth="1"/>
    <col min="6" max="6" width="3.375" style="3" customWidth="1"/>
    <col min="7" max="8" width="2.875" style="3" customWidth="1"/>
    <col min="9" max="15" width="2.625" style="3" customWidth="1"/>
    <col min="16" max="18" width="2.5" style="3" customWidth="1"/>
    <col min="19" max="19" width="2.875" style="3" customWidth="1"/>
    <col min="20" max="20" width="1.125" style="3" customWidth="1"/>
    <col min="21" max="31" width="2.625" style="3" customWidth="1"/>
    <col min="32" max="32" width="2.5" style="3" customWidth="1"/>
    <col min="33" max="33" width="1.625" style="3" customWidth="1"/>
    <col min="34" max="34" width="2.875" style="3" customWidth="1"/>
    <col min="35" max="44" width="2.375" style="3" customWidth="1"/>
    <col min="45" max="45" width="2" style="3" customWidth="1"/>
    <col min="46" max="55" width="2.125" style="3" customWidth="1"/>
    <col min="56" max="58" width="2.875" style="3" customWidth="1"/>
    <col min="59" max="59" width="1.5" style="3" customWidth="1"/>
    <col min="60" max="60" width="2.875" style="3" customWidth="1"/>
    <col min="61" max="67" width="1.625" style="3" customWidth="1"/>
    <col min="68" max="12976" width="10.875" style="3"/>
    <col min="12977" max="12977" width="10.875" style="3" customWidth="1"/>
    <col min="12978" max="12978" width="7.625" style="3" hidden="1" customWidth="1"/>
    <col min="12979" max="12979" width="9.125" style="3" customWidth="1"/>
    <col min="12980" max="12981" width="7.625" style="3" customWidth="1"/>
    <col min="12982" max="16384" width="10.875" style="3"/>
  </cols>
  <sheetData>
    <row r="1" spans="1:67" ht="20.25" x14ac:dyDescent="0.3">
      <c r="B1" s="25"/>
      <c r="C1" s="25"/>
      <c r="D1" s="25"/>
      <c r="E1" s="25"/>
      <c r="F1" s="25"/>
      <c r="G1" s="25"/>
      <c r="H1" s="25"/>
      <c r="I1" s="25"/>
      <c r="J1" s="25"/>
      <c r="K1" s="25"/>
      <c r="L1" s="25"/>
      <c r="M1" s="25"/>
      <c r="N1" s="25"/>
      <c r="O1" s="25"/>
      <c r="P1" s="119" t="s">
        <v>87</v>
      </c>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c r="AU1" s="119"/>
      <c r="AV1" s="119"/>
      <c r="AW1" s="119"/>
      <c r="AX1" s="119"/>
      <c r="AY1" s="119"/>
      <c r="AZ1" s="119"/>
      <c r="BA1" s="119"/>
      <c r="BB1" s="25"/>
      <c r="BC1" s="25"/>
      <c r="BD1" s="25"/>
      <c r="BE1" s="25"/>
      <c r="BF1" s="25"/>
      <c r="BG1" s="25"/>
      <c r="BH1" s="71" t="s">
        <v>9</v>
      </c>
      <c r="BI1" s="71"/>
      <c r="BJ1" s="71"/>
      <c r="BK1" s="71"/>
      <c r="BL1" s="71"/>
      <c r="BM1" s="71"/>
      <c r="BN1" s="71"/>
      <c r="BO1" s="71"/>
    </row>
    <row r="2" spans="1:67" ht="20.25" x14ac:dyDescent="0.3">
      <c r="B2" s="25"/>
      <c r="C2" s="25"/>
      <c r="D2" s="25"/>
      <c r="E2" s="25"/>
      <c r="F2" s="25"/>
      <c r="G2" s="25"/>
      <c r="H2" s="25"/>
      <c r="I2" s="25"/>
      <c r="J2" s="25"/>
      <c r="K2" s="25"/>
      <c r="L2" s="25"/>
      <c r="M2" s="25"/>
      <c r="N2" s="25"/>
      <c r="O2" s="25"/>
      <c r="P2" s="119" t="s">
        <v>28</v>
      </c>
      <c r="Q2" s="119"/>
      <c r="R2" s="119"/>
      <c r="S2" s="119"/>
      <c r="T2" s="119"/>
      <c r="U2" s="119"/>
      <c r="V2" s="119"/>
      <c r="W2" s="119"/>
      <c r="X2" s="119"/>
      <c r="Y2" s="119"/>
      <c r="Z2" s="119"/>
      <c r="AA2" s="119"/>
      <c r="AB2" s="119"/>
      <c r="AC2" s="119"/>
      <c r="AD2" s="119"/>
      <c r="AE2" s="119"/>
      <c r="AF2" s="119"/>
      <c r="AG2" s="119"/>
      <c r="AH2" s="119"/>
      <c r="AI2" s="119"/>
      <c r="AJ2" s="119"/>
      <c r="AK2" s="119"/>
      <c r="AL2" s="119"/>
      <c r="AM2" s="119"/>
      <c r="AN2" s="119"/>
      <c r="AO2" s="119"/>
      <c r="AP2" s="119"/>
      <c r="AQ2" s="119"/>
      <c r="AR2" s="119"/>
      <c r="AS2" s="119"/>
      <c r="AT2" s="119"/>
      <c r="AU2" s="119"/>
      <c r="AV2" s="119"/>
      <c r="AW2" s="119"/>
      <c r="AX2" s="119"/>
      <c r="AY2" s="119"/>
      <c r="AZ2" s="119"/>
      <c r="BA2" s="119"/>
      <c r="BB2" s="25"/>
      <c r="BC2" s="25"/>
      <c r="BD2" s="25"/>
      <c r="BE2" s="25"/>
      <c r="BF2" s="25"/>
      <c r="BG2" s="25"/>
      <c r="BH2" s="25"/>
      <c r="BI2" s="25"/>
      <c r="BJ2" s="25"/>
      <c r="BK2" s="25"/>
      <c r="BL2" s="25"/>
      <c r="BM2" s="25"/>
      <c r="BN2" s="25"/>
      <c r="BO2" s="25"/>
    </row>
    <row r="3" spans="1:67" ht="15" customHeight="1" x14ac:dyDescent="0.25">
      <c r="B3" s="26"/>
      <c r="C3" s="26"/>
      <c r="D3" s="26"/>
      <c r="E3" s="26"/>
      <c r="F3" s="26"/>
      <c r="G3" s="26"/>
      <c r="H3" s="26"/>
      <c r="I3" s="26"/>
      <c r="J3" s="26"/>
      <c r="K3" s="26"/>
      <c r="L3" s="26"/>
      <c r="M3" s="26"/>
      <c r="N3" s="26"/>
      <c r="O3" s="26"/>
      <c r="P3" s="120" t="s">
        <v>6</v>
      </c>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26"/>
      <c r="BC3" s="26"/>
      <c r="BD3" s="26"/>
      <c r="BE3" s="26"/>
      <c r="BF3" s="26"/>
      <c r="BG3" s="26"/>
      <c r="BH3" s="26"/>
      <c r="BI3" s="26"/>
      <c r="BJ3" s="26"/>
      <c r="BK3" s="26"/>
      <c r="BL3" s="26"/>
      <c r="BM3" s="26"/>
      <c r="BN3" s="26"/>
      <c r="BO3" s="26"/>
    </row>
    <row r="4" spans="1:67" ht="15" customHeight="1" x14ac:dyDescent="0.25">
      <c r="A4" s="26"/>
      <c r="B4" s="26"/>
      <c r="C4" s="26"/>
      <c r="D4" s="26"/>
      <c r="E4" s="26"/>
      <c r="F4" s="26"/>
      <c r="G4" s="26"/>
      <c r="H4" s="26"/>
      <c r="I4" s="26"/>
      <c r="J4" s="26"/>
      <c r="K4" s="26"/>
      <c r="L4" s="26"/>
      <c r="M4" s="26"/>
      <c r="N4" s="26"/>
      <c r="O4" s="26"/>
      <c r="P4" s="120"/>
      <c r="Q4" s="120"/>
      <c r="R4" s="120"/>
      <c r="S4" s="120"/>
      <c r="T4" s="120"/>
      <c r="U4" s="120"/>
      <c r="V4" s="120"/>
      <c r="W4" s="120"/>
      <c r="X4" s="120"/>
      <c r="Y4" s="120"/>
      <c r="Z4" s="120"/>
      <c r="AA4" s="120"/>
      <c r="AB4" s="120"/>
      <c r="AC4" s="120"/>
      <c r="AD4" s="120"/>
      <c r="AE4" s="120"/>
      <c r="AF4" s="120"/>
      <c r="AG4" s="120"/>
      <c r="AH4" s="120"/>
      <c r="AI4" s="120"/>
      <c r="AJ4" s="120"/>
      <c r="AK4" s="120"/>
      <c r="AL4" s="120"/>
      <c r="AM4" s="120"/>
      <c r="AN4" s="120"/>
      <c r="AO4" s="120"/>
      <c r="AP4" s="120"/>
      <c r="AQ4" s="120"/>
      <c r="AR4" s="120"/>
      <c r="AS4" s="120"/>
      <c r="AT4" s="120"/>
      <c r="AU4" s="120"/>
      <c r="AV4" s="120"/>
      <c r="AW4" s="120"/>
      <c r="AX4" s="120"/>
      <c r="AY4" s="120"/>
      <c r="AZ4" s="120"/>
      <c r="BA4" s="120"/>
      <c r="BB4" s="26"/>
      <c r="BC4" s="26"/>
      <c r="BD4" s="26"/>
      <c r="BE4" s="26"/>
      <c r="BF4" s="26"/>
      <c r="BG4" s="26"/>
      <c r="BH4" s="26"/>
      <c r="BI4" s="26"/>
      <c r="BJ4" s="26"/>
      <c r="BK4" s="26"/>
      <c r="BL4" s="26"/>
      <c r="BM4" s="26"/>
      <c r="BN4" s="26"/>
      <c r="BO4" s="26"/>
    </row>
    <row r="5" spans="1:67" ht="22.5" customHeight="1" x14ac:dyDescent="0.25">
      <c r="A5" s="26"/>
      <c r="B5" s="26"/>
      <c r="C5" s="26"/>
      <c r="D5" s="26"/>
      <c r="E5" s="26"/>
      <c r="F5" s="26"/>
      <c r="G5" s="26"/>
      <c r="H5" s="26"/>
      <c r="I5" s="26"/>
      <c r="J5" s="26"/>
      <c r="K5" s="26"/>
      <c r="L5" s="26"/>
      <c r="M5" s="26"/>
      <c r="N5" s="26"/>
      <c r="O5" s="26"/>
      <c r="P5" s="120"/>
      <c r="Q5" s="120"/>
      <c r="R5" s="120"/>
      <c r="S5" s="120"/>
      <c r="T5" s="120"/>
      <c r="U5" s="120"/>
      <c r="V5" s="120"/>
      <c r="W5" s="120"/>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26"/>
      <c r="BC5" s="26"/>
      <c r="BD5" s="26"/>
      <c r="BE5" s="26"/>
      <c r="BF5" s="26"/>
      <c r="BG5" s="26"/>
      <c r="BH5" s="26"/>
      <c r="BI5" s="26"/>
      <c r="BJ5" s="26"/>
      <c r="BK5" s="26"/>
      <c r="BL5" s="26"/>
      <c r="BM5" s="26"/>
      <c r="BN5" s="26"/>
      <c r="BO5" s="26"/>
    </row>
    <row r="6" spans="1:67" x14ac:dyDescent="0.25">
      <c r="A6" s="98" t="s">
        <v>29</v>
      </c>
      <c r="B6" s="98"/>
      <c r="C6" s="98"/>
      <c r="D6" s="98"/>
      <c r="E6" s="98"/>
      <c r="F6" s="98"/>
      <c r="G6" s="98"/>
      <c r="H6" s="98"/>
      <c r="I6" s="98"/>
      <c r="J6" s="98"/>
      <c r="K6" s="98"/>
      <c r="L6" s="98"/>
      <c r="M6" s="98"/>
      <c r="N6" s="98"/>
      <c r="O6" s="98"/>
      <c r="P6" s="98"/>
      <c r="Q6" s="98"/>
      <c r="R6" s="98"/>
      <c r="S6" s="98"/>
      <c r="T6" s="98"/>
      <c r="U6" s="98"/>
      <c r="V6" s="98"/>
      <c r="W6" s="98"/>
      <c r="X6" s="98"/>
      <c r="Y6" s="98"/>
      <c r="Z6" s="98"/>
      <c r="AA6" s="98"/>
      <c r="AB6" s="98"/>
      <c r="AC6" s="98"/>
      <c r="AD6" s="98"/>
      <c r="AE6" s="98"/>
      <c r="AF6" s="98"/>
      <c r="AG6" s="98"/>
      <c r="AH6" s="98"/>
      <c r="AI6" s="98"/>
      <c r="AJ6" s="98"/>
      <c r="AK6" s="98"/>
      <c r="AL6" s="98"/>
      <c r="AM6" s="98"/>
      <c r="AN6" s="98"/>
      <c r="AO6" s="98"/>
      <c r="AP6" s="98"/>
      <c r="AQ6" s="98"/>
      <c r="AR6" s="98"/>
      <c r="AS6" s="98"/>
      <c r="AT6" s="98"/>
      <c r="AU6" s="98"/>
      <c r="AV6" s="98"/>
      <c r="AW6" s="98"/>
      <c r="AX6" s="98"/>
      <c r="AY6" s="98"/>
      <c r="AZ6" s="98"/>
      <c r="BA6" s="98"/>
      <c r="BB6" s="98"/>
      <c r="BC6" s="98"/>
      <c r="BD6" s="98"/>
      <c r="BE6" s="98"/>
      <c r="BF6" s="98"/>
      <c r="BG6" s="98"/>
      <c r="BH6" s="98"/>
      <c r="BI6" s="98"/>
      <c r="BJ6" s="98"/>
      <c r="BK6" s="98"/>
      <c r="BL6" s="98"/>
      <c r="BM6" s="98"/>
      <c r="BN6" s="98"/>
      <c r="BO6" s="98"/>
    </row>
    <row r="7" spans="1:67" ht="3" customHeight="1" x14ac:dyDescent="0.25">
      <c r="A7" s="45"/>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row>
    <row r="8" spans="1:67" x14ac:dyDescent="0.25">
      <c r="A8" s="101" t="s">
        <v>25</v>
      </c>
      <c r="B8" s="101"/>
      <c r="C8" s="101"/>
      <c r="D8" s="101"/>
      <c r="E8" s="101"/>
      <c r="F8" s="83"/>
      <c r="G8" s="83"/>
      <c r="H8" s="83"/>
      <c r="I8" s="83"/>
      <c r="J8" s="83"/>
      <c r="K8" s="83"/>
      <c r="L8" s="83"/>
      <c r="M8" s="83"/>
      <c r="N8" s="83"/>
      <c r="O8" s="83"/>
      <c r="P8" s="83"/>
      <c r="Q8" s="83"/>
      <c r="R8" s="83"/>
      <c r="S8" s="83"/>
      <c r="T8" s="102" t="s">
        <v>24</v>
      </c>
      <c r="U8" s="102"/>
      <c r="V8" s="102"/>
      <c r="W8" s="102"/>
      <c r="X8" s="102"/>
      <c r="Y8" s="83"/>
      <c r="Z8" s="83"/>
      <c r="AA8" s="83"/>
      <c r="AB8" s="83"/>
      <c r="AC8" s="83"/>
      <c r="AD8" s="83"/>
      <c r="AE8" s="83"/>
      <c r="AF8" s="83"/>
      <c r="AG8" s="83"/>
      <c r="AH8" s="83"/>
      <c r="AI8" s="83"/>
      <c r="AJ8" s="83"/>
      <c r="AK8" s="83"/>
      <c r="AL8" s="83"/>
      <c r="AM8" s="83"/>
      <c r="AN8" s="83"/>
      <c r="AO8" s="83"/>
      <c r="AP8" s="83"/>
      <c r="AQ8" s="83"/>
      <c r="AR8" s="83"/>
      <c r="AS8" s="102" t="s">
        <v>23</v>
      </c>
      <c r="AT8" s="102"/>
      <c r="AU8" s="102"/>
      <c r="AV8" s="102"/>
      <c r="AW8" s="102"/>
      <c r="AX8" s="102"/>
      <c r="AY8" s="102"/>
      <c r="AZ8" s="83"/>
      <c r="BA8" s="83"/>
      <c r="BB8" s="83"/>
      <c r="BC8" s="83"/>
      <c r="BD8" s="83"/>
      <c r="BE8" s="83"/>
      <c r="BF8" s="83"/>
      <c r="BG8" s="83"/>
      <c r="BH8" s="83"/>
      <c r="BI8" s="83"/>
      <c r="BJ8" s="83"/>
      <c r="BK8" s="83"/>
      <c r="BL8" s="83"/>
      <c r="BM8" s="83"/>
      <c r="BN8" s="83"/>
      <c r="BO8" s="83"/>
    </row>
    <row r="9" spans="1:67" x14ac:dyDescent="0.25">
      <c r="A9" s="101" t="s">
        <v>26</v>
      </c>
      <c r="B9" s="101"/>
      <c r="C9" s="103"/>
      <c r="D9" s="103"/>
      <c r="E9" s="103"/>
      <c r="F9" s="103"/>
      <c r="G9" s="103"/>
      <c r="H9" s="103"/>
      <c r="I9" s="103"/>
      <c r="J9" s="103"/>
      <c r="K9" s="103"/>
      <c r="L9" s="103"/>
      <c r="M9" s="103"/>
      <c r="N9" s="103"/>
      <c r="O9" s="103"/>
      <c r="P9" s="103"/>
      <c r="Q9" s="103"/>
      <c r="R9" s="102" t="s">
        <v>30</v>
      </c>
      <c r="S9" s="102"/>
      <c r="T9" s="102"/>
      <c r="U9" s="102"/>
      <c r="V9" s="102"/>
      <c r="W9" s="102"/>
      <c r="X9" s="102"/>
      <c r="Y9" s="102"/>
      <c r="Z9" s="102"/>
      <c r="AA9" s="104"/>
      <c r="AB9" s="104"/>
      <c r="AC9" s="104"/>
      <c r="AD9" s="104"/>
      <c r="AE9" s="104"/>
      <c r="AF9" s="104"/>
      <c r="AG9" s="104"/>
      <c r="AH9" s="104"/>
      <c r="AI9" s="104"/>
      <c r="AJ9" s="104"/>
      <c r="AK9" s="104"/>
      <c r="AL9" s="99" t="s">
        <v>27</v>
      </c>
      <c r="AM9" s="99"/>
      <c r="AN9" s="72"/>
      <c r="AO9" s="72"/>
      <c r="AP9" s="72"/>
      <c r="AQ9" s="72"/>
      <c r="AR9" s="72"/>
      <c r="AS9" s="102" t="s">
        <v>31</v>
      </c>
      <c r="AT9" s="102"/>
      <c r="AU9" s="102"/>
      <c r="AV9" s="102"/>
      <c r="AW9" s="102"/>
      <c r="AX9" s="102"/>
      <c r="AY9" s="102"/>
      <c r="AZ9" s="102"/>
      <c r="BA9" s="102"/>
      <c r="BB9" s="102"/>
      <c r="BC9" s="102"/>
      <c r="BD9" s="102"/>
      <c r="BE9" s="102"/>
      <c r="BF9" s="102"/>
      <c r="BG9" s="102"/>
      <c r="BH9" s="105"/>
      <c r="BI9" s="105"/>
      <c r="BJ9" s="105"/>
      <c r="BK9" s="105"/>
      <c r="BL9" s="105"/>
      <c r="BM9" s="105"/>
      <c r="BN9" s="105"/>
      <c r="BO9" s="105"/>
    </row>
    <row r="10" spans="1:67" ht="9" customHeight="1" x14ac:dyDescent="0.25">
      <c r="A10" s="99"/>
      <c r="B10" s="99"/>
      <c r="C10" s="99"/>
      <c r="D10" s="99"/>
      <c r="E10" s="99"/>
      <c r="F10" s="99"/>
      <c r="G10" s="99"/>
      <c r="H10" s="99"/>
      <c r="I10" s="99"/>
      <c r="J10" s="99"/>
      <c r="K10" s="99"/>
      <c r="L10" s="99"/>
      <c r="M10" s="99"/>
      <c r="N10" s="99"/>
      <c r="O10" s="99"/>
      <c r="P10" s="99"/>
      <c r="Q10" s="99"/>
      <c r="R10" s="99"/>
      <c r="S10" s="99"/>
      <c r="T10" s="99"/>
      <c r="U10" s="99"/>
      <c r="V10" s="99"/>
      <c r="W10" s="99"/>
      <c r="X10" s="99"/>
      <c r="Y10" s="99"/>
      <c r="Z10" s="99"/>
      <c r="AA10" s="99"/>
      <c r="AB10" s="99"/>
      <c r="AC10" s="99"/>
      <c r="AD10" s="99"/>
      <c r="AE10" s="99"/>
      <c r="AF10" s="99"/>
      <c r="AG10" s="99"/>
      <c r="AH10" s="99"/>
      <c r="AI10" s="99"/>
      <c r="AJ10" s="99"/>
      <c r="AK10" s="99"/>
      <c r="AL10" s="99"/>
      <c r="AM10" s="99"/>
      <c r="AN10" s="99"/>
      <c r="AO10" s="99"/>
      <c r="AP10" s="99"/>
      <c r="AQ10" s="99"/>
      <c r="AR10" s="99"/>
      <c r="AS10" s="99"/>
      <c r="AT10" s="99"/>
      <c r="AU10" s="99"/>
      <c r="AV10" s="99"/>
      <c r="AW10" s="99"/>
      <c r="AX10" s="99"/>
      <c r="AY10" s="99"/>
      <c r="AZ10" s="99"/>
      <c r="BA10" s="99"/>
      <c r="BB10" s="99"/>
      <c r="BC10" s="99"/>
      <c r="BD10" s="99"/>
      <c r="BE10" s="99"/>
      <c r="BF10" s="99"/>
      <c r="BG10" s="99"/>
      <c r="BH10" s="99"/>
      <c r="BI10" s="99"/>
      <c r="BJ10" s="99"/>
      <c r="BK10" s="99"/>
      <c r="BL10" s="99"/>
      <c r="BM10" s="99"/>
      <c r="BN10" s="99"/>
      <c r="BO10" s="99"/>
    </row>
    <row r="11" spans="1:67" x14ac:dyDescent="0.25">
      <c r="A11" s="98" t="s">
        <v>89</v>
      </c>
      <c r="B11" s="121"/>
      <c r="C11" s="121"/>
      <c r="D11" s="121"/>
      <c r="E11" s="121"/>
      <c r="F11" s="121"/>
      <c r="G11" s="121"/>
      <c r="H11" s="121"/>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1"/>
    </row>
    <row r="12" spans="1:67" ht="4.5" customHeight="1" x14ac:dyDescent="0.25">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row>
    <row r="13" spans="1:67" x14ac:dyDescent="0.25">
      <c r="A13" s="1"/>
      <c r="B13" s="28" t="s">
        <v>91</v>
      </c>
      <c r="K13" s="29" t="s">
        <v>32</v>
      </c>
      <c r="L13" s="29"/>
      <c r="M13" s="29"/>
      <c r="N13" s="103"/>
      <c r="O13" s="103"/>
      <c r="P13" s="103"/>
      <c r="S13" s="24"/>
      <c r="T13" s="28" t="s">
        <v>90</v>
      </c>
      <c r="AD13" s="29" t="s">
        <v>32</v>
      </c>
      <c r="AE13" s="29"/>
      <c r="AF13" s="29"/>
      <c r="AH13" s="103"/>
      <c r="AI13" s="103"/>
      <c r="AJ13" s="103"/>
    </row>
    <row r="14" spans="1:67" x14ac:dyDescent="0.25">
      <c r="A14" s="3" t="s">
        <v>72</v>
      </c>
      <c r="B14" s="29"/>
      <c r="C14" s="29"/>
      <c r="D14" s="31"/>
      <c r="E14" s="31"/>
      <c r="F14" s="31"/>
      <c r="G14" s="31"/>
      <c r="P14" s="72"/>
      <c r="Q14" s="72"/>
      <c r="R14" s="72"/>
      <c r="S14" s="72"/>
      <c r="U14" s="30" t="s">
        <v>68</v>
      </c>
      <c r="V14" s="32"/>
      <c r="W14" s="32"/>
      <c r="X14" s="32"/>
      <c r="Y14" s="32"/>
      <c r="Z14" s="83"/>
      <c r="AA14" s="83"/>
      <c r="AB14" s="83"/>
      <c r="AC14" s="83"/>
      <c r="AD14" s="83"/>
      <c r="AE14" s="83"/>
      <c r="AF14" s="83"/>
      <c r="AG14" s="83"/>
      <c r="AH14" s="83"/>
      <c r="AI14" s="83"/>
      <c r="AJ14" s="83"/>
      <c r="AK14" s="83"/>
      <c r="AL14" s="83"/>
      <c r="AM14" s="83"/>
      <c r="AN14" s="83"/>
      <c r="AO14" s="83"/>
      <c r="AP14" s="83"/>
      <c r="AQ14" s="3" t="s">
        <v>67</v>
      </c>
      <c r="AR14" s="33"/>
      <c r="AS14" s="33"/>
      <c r="AW14" s="83"/>
      <c r="AX14" s="83"/>
      <c r="AY14" s="83"/>
      <c r="AZ14" s="83"/>
      <c r="BA14" s="83"/>
      <c r="BB14" s="83"/>
      <c r="BC14" s="83"/>
      <c r="BD14" s="83"/>
      <c r="BE14" s="83"/>
      <c r="BF14" s="83"/>
      <c r="BG14" s="83"/>
      <c r="BH14" s="83"/>
      <c r="BI14" s="83"/>
      <c r="BJ14" s="83"/>
      <c r="BK14" s="83"/>
      <c r="BL14" s="83"/>
      <c r="BM14" s="83"/>
      <c r="BN14" s="83"/>
      <c r="BO14" s="83"/>
    </row>
    <row r="15" spans="1:67" ht="3" customHeight="1" x14ac:dyDescent="0.25">
      <c r="A15" s="97"/>
      <c r="B15" s="97"/>
      <c r="C15" s="97"/>
      <c r="D15" s="97"/>
      <c r="E15" s="97"/>
      <c r="F15" s="97"/>
      <c r="G15" s="97"/>
      <c r="H15" s="97"/>
      <c r="I15" s="97"/>
      <c r="J15" s="97"/>
      <c r="K15" s="97"/>
      <c r="L15" s="97"/>
      <c r="M15" s="97"/>
      <c r="N15" s="97"/>
      <c r="O15" s="97"/>
      <c r="P15" s="97"/>
      <c r="Q15" s="97"/>
      <c r="R15" s="97"/>
      <c r="S15" s="97"/>
      <c r="T15" s="97"/>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row>
    <row r="16" spans="1:67" x14ac:dyDescent="0.25">
      <c r="A16" s="1"/>
      <c r="B16" s="124" t="s">
        <v>92</v>
      </c>
      <c r="C16" s="101"/>
      <c r="D16" s="101"/>
      <c r="E16" s="101"/>
      <c r="F16" s="101"/>
      <c r="G16" s="101"/>
      <c r="H16" s="102" t="s">
        <v>73</v>
      </c>
      <c r="I16" s="102"/>
      <c r="J16" s="102"/>
      <c r="K16" s="123"/>
      <c r="L16" s="123"/>
      <c r="M16" s="123"/>
      <c r="N16" s="123"/>
      <c r="S16" s="1"/>
      <c r="T16" s="28" t="s">
        <v>93</v>
      </c>
      <c r="Z16" s="102" t="s">
        <v>73</v>
      </c>
      <c r="AA16" s="102"/>
      <c r="AB16" s="102"/>
      <c r="AC16" s="123"/>
      <c r="AD16" s="123"/>
      <c r="AE16" s="123"/>
      <c r="AF16" s="123"/>
      <c r="AH16" s="1"/>
      <c r="AI16" s="3" t="s">
        <v>37</v>
      </c>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row>
    <row r="17" spans="1:67" x14ac:dyDescent="0.25">
      <c r="A17" s="3" t="s">
        <v>33</v>
      </c>
      <c r="P17" s="125"/>
      <c r="Q17" s="125"/>
      <c r="R17" s="125"/>
      <c r="S17" s="125"/>
      <c r="T17" s="125"/>
      <c r="U17" s="125"/>
      <c r="W17" s="102" t="s">
        <v>74</v>
      </c>
      <c r="X17" s="102"/>
      <c r="Y17" s="102"/>
      <c r="Z17" s="102"/>
      <c r="AA17" s="102"/>
      <c r="AB17" s="102"/>
      <c r="AC17" s="102"/>
      <c r="AD17" s="102"/>
      <c r="AE17" s="102"/>
      <c r="AF17" s="102"/>
      <c r="AG17" s="102"/>
      <c r="AH17" s="102"/>
      <c r="AI17" s="102"/>
      <c r="AJ17" s="102"/>
      <c r="AK17" s="102"/>
      <c r="AL17" s="102"/>
      <c r="AM17" s="10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row>
    <row r="18" spans="1:67" ht="13.5" customHeight="1" x14ac:dyDescent="0.25">
      <c r="A18" s="34" t="s">
        <v>96</v>
      </c>
      <c r="B18" s="34"/>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t="s">
        <v>95</v>
      </c>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row>
    <row r="19" spans="1:67" ht="13.5" customHeight="1" x14ac:dyDescent="0.25">
      <c r="A19" s="34" t="s">
        <v>94</v>
      </c>
      <c r="B19" s="34"/>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row>
    <row r="20" spans="1:67" ht="2.25" customHeight="1" x14ac:dyDescent="0.25">
      <c r="A20" s="99"/>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99"/>
      <c r="BJ20" s="99"/>
      <c r="BK20" s="99"/>
      <c r="BL20" s="99"/>
      <c r="BM20" s="99"/>
      <c r="BN20" s="99"/>
      <c r="BO20" s="99"/>
    </row>
    <row r="21" spans="1:67" x14ac:dyDescent="0.25">
      <c r="A21" s="98" t="s">
        <v>34</v>
      </c>
      <c r="B21" s="98"/>
      <c r="C21" s="98"/>
      <c r="D21" s="98"/>
      <c r="E21" s="98"/>
      <c r="F21" s="98"/>
      <c r="G21" s="98"/>
      <c r="H21" s="98"/>
      <c r="I21" s="98"/>
      <c r="J21" s="98"/>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row>
    <row r="22" spans="1:67" ht="3" customHeight="1" x14ac:dyDescent="0.25">
      <c r="A22" s="99"/>
      <c r="B22" s="99"/>
      <c r="C22" s="99"/>
      <c r="D22" s="99"/>
      <c r="E22" s="99"/>
      <c r="F22" s="99"/>
      <c r="G22" s="99"/>
      <c r="H22" s="99"/>
      <c r="I22" s="99"/>
      <c r="J22" s="99"/>
      <c r="K22" s="99"/>
      <c r="L22" s="99"/>
      <c r="M22" s="99"/>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99"/>
      <c r="BJ22" s="99"/>
      <c r="BK22" s="99"/>
      <c r="BL22" s="99"/>
      <c r="BM22" s="99"/>
      <c r="BN22" s="99"/>
      <c r="BO22" s="99"/>
    </row>
    <row r="23" spans="1:67" x14ac:dyDescent="0.25">
      <c r="A23" s="45" t="s">
        <v>35</v>
      </c>
      <c r="B23" s="45"/>
      <c r="C23" s="45"/>
      <c r="D23" s="45"/>
      <c r="E23" s="72"/>
      <c r="F23" s="73"/>
      <c r="G23" s="73"/>
      <c r="H23" s="73"/>
      <c r="I23" s="73"/>
      <c r="J23" s="73"/>
      <c r="K23" s="73"/>
      <c r="L23" s="73"/>
      <c r="M23" s="73"/>
      <c r="N23" s="73"/>
      <c r="O23" s="73"/>
      <c r="P23" s="73"/>
      <c r="Q23" s="73"/>
      <c r="R23" s="73"/>
      <c r="S23" s="73"/>
      <c r="T23" s="73"/>
      <c r="U23" s="73"/>
      <c r="V23" s="73"/>
      <c r="W23" s="73"/>
      <c r="X23" s="73"/>
      <c r="Y23" s="73"/>
      <c r="Z23" s="73"/>
      <c r="AA23" s="73"/>
      <c r="AB23" s="70" t="s">
        <v>44</v>
      </c>
      <c r="AC23" s="70"/>
      <c r="AD23" s="70"/>
      <c r="AE23" s="70"/>
      <c r="AF23" s="73"/>
      <c r="AG23" s="73"/>
      <c r="AH23" s="73"/>
      <c r="AI23" s="73"/>
      <c r="AJ23" s="73"/>
      <c r="AK23" s="73"/>
      <c r="AL23" s="73"/>
      <c r="AM23" s="45" t="s">
        <v>36</v>
      </c>
      <c r="AN23" s="45"/>
      <c r="AO23" s="45"/>
      <c r="AP23" s="45"/>
      <c r="AQ23" s="45"/>
      <c r="AR23" s="45"/>
      <c r="AS23" s="73"/>
      <c r="AT23" s="73"/>
      <c r="AU23" s="73"/>
      <c r="AV23" s="73"/>
      <c r="AW23" s="73"/>
      <c r="AX23" s="73"/>
      <c r="AY23" s="45" t="s">
        <v>3</v>
      </c>
      <c r="AZ23" s="45"/>
      <c r="BA23" s="72"/>
      <c r="BB23" s="73"/>
      <c r="BC23" s="73"/>
      <c r="BD23" s="73"/>
      <c r="BE23" s="73"/>
      <c r="BF23" s="73"/>
      <c r="BG23" s="73"/>
      <c r="BH23" s="70" t="s">
        <v>4</v>
      </c>
      <c r="BI23" s="70"/>
      <c r="BJ23" s="70"/>
      <c r="BK23" s="73"/>
      <c r="BL23" s="73"/>
      <c r="BM23" s="73"/>
      <c r="BN23" s="73"/>
      <c r="BO23" s="73"/>
    </row>
    <row r="24" spans="1:67" ht="3" customHeight="1" x14ac:dyDescent="0.25">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row>
    <row r="25" spans="1:67" ht="15" customHeight="1" x14ac:dyDescent="0.25">
      <c r="A25" s="45" t="s">
        <v>38</v>
      </c>
      <c r="B25" s="45"/>
      <c r="C25" s="45"/>
      <c r="D25" s="45"/>
      <c r="E25" s="45"/>
      <c r="F25" s="45"/>
      <c r="G25" s="72"/>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c r="AL25" s="73"/>
      <c r="AM25" s="73"/>
      <c r="AN25" s="70" t="s">
        <v>5</v>
      </c>
      <c r="AO25" s="70"/>
      <c r="AP25" s="70"/>
      <c r="AQ25" s="70"/>
      <c r="AR25" s="70"/>
      <c r="AS25" s="72"/>
      <c r="AT25" s="73"/>
      <c r="AU25" s="73"/>
      <c r="AV25" s="73"/>
      <c r="AW25" s="73"/>
      <c r="AX25" s="73"/>
      <c r="AY25" s="73"/>
      <c r="AZ25" s="73"/>
      <c r="BA25" s="73"/>
      <c r="BB25" s="73"/>
      <c r="BC25" s="73"/>
      <c r="BD25" s="73"/>
      <c r="BE25" s="73"/>
      <c r="BF25" s="73"/>
      <c r="BG25" s="73"/>
      <c r="BH25" s="73"/>
      <c r="BI25" s="73"/>
      <c r="BJ25" s="73"/>
      <c r="BK25" s="73"/>
      <c r="BL25" s="73"/>
      <c r="BM25" s="73"/>
      <c r="BN25" s="73"/>
      <c r="BO25" s="73"/>
    </row>
    <row r="26" spans="1:67" ht="3" customHeight="1" thickBot="1" x14ac:dyDescent="0.3">
      <c r="A26" s="100"/>
      <c r="B26" s="100"/>
      <c r="C26" s="100"/>
      <c r="D26" s="100"/>
      <c r="E26" s="100"/>
      <c r="F26" s="100"/>
      <c r="G26" s="100"/>
      <c r="H26" s="100"/>
      <c r="I26" s="100"/>
      <c r="J26" s="100"/>
      <c r="K26" s="100"/>
      <c r="L26" s="100"/>
      <c r="M26" s="100"/>
      <c r="N26" s="100"/>
      <c r="O26" s="100"/>
      <c r="P26" s="100"/>
      <c r="Q26" s="100"/>
      <c r="R26" s="100"/>
      <c r="S26" s="100"/>
      <c r="T26" s="100"/>
      <c r="U26" s="100"/>
      <c r="V26" s="100"/>
      <c r="W26" s="100"/>
      <c r="X26" s="100"/>
      <c r="Y26" s="100"/>
      <c r="Z26" s="100"/>
      <c r="AA26" s="100"/>
      <c r="AB26" s="100"/>
      <c r="AC26" s="100"/>
      <c r="AD26" s="100"/>
      <c r="AE26" s="100"/>
      <c r="AF26" s="100"/>
      <c r="AG26" s="100"/>
      <c r="AH26" s="100"/>
      <c r="AI26" s="100"/>
      <c r="AJ26" s="100"/>
      <c r="AK26" s="100"/>
      <c r="AL26" s="100"/>
      <c r="AM26" s="100"/>
      <c r="AN26" s="100"/>
      <c r="AO26" s="100"/>
      <c r="AP26" s="100"/>
      <c r="AQ26" s="100"/>
      <c r="AR26" s="100"/>
      <c r="AS26" s="100"/>
      <c r="AT26" s="100"/>
      <c r="AU26" s="100"/>
      <c r="AV26" s="100"/>
      <c r="AW26" s="100"/>
      <c r="AX26" s="100"/>
      <c r="AY26" s="100"/>
      <c r="AZ26" s="100"/>
      <c r="BA26" s="100"/>
      <c r="BB26" s="100"/>
      <c r="BC26" s="100"/>
      <c r="BD26" s="100"/>
      <c r="BE26" s="100"/>
      <c r="BF26" s="100"/>
      <c r="BG26" s="100"/>
      <c r="BH26" s="100"/>
      <c r="BI26" s="100"/>
      <c r="BJ26" s="100"/>
      <c r="BK26" s="100"/>
      <c r="BL26" s="100"/>
      <c r="BM26" s="100"/>
      <c r="BN26" s="100"/>
      <c r="BO26" s="100"/>
    </row>
    <row r="27" spans="1:67" ht="12" customHeight="1" x14ac:dyDescent="0.25">
      <c r="A27" s="55" t="s">
        <v>69</v>
      </c>
      <c r="B27" s="56"/>
      <c r="C27" s="56"/>
      <c r="D27" s="56"/>
      <c r="E27" s="56"/>
      <c r="F27" s="56"/>
      <c r="G27" s="56"/>
      <c r="H27" s="57"/>
      <c r="I27" s="64" t="s">
        <v>97</v>
      </c>
      <c r="J27" s="65"/>
      <c r="K27" s="65"/>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6"/>
      <c r="AT27" s="127" t="s">
        <v>1</v>
      </c>
      <c r="AU27" s="127"/>
      <c r="AV27" s="127"/>
      <c r="AW27" s="127"/>
      <c r="AX27" s="127"/>
      <c r="AY27" s="127"/>
      <c r="AZ27" s="127"/>
      <c r="BA27" s="127"/>
      <c r="BB27" s="127"/>
      <c r="BC27" s="127"/>
      <c r="BD27" s="88" t="s">
        <v>39</v>
      </c>
      <c r="BE27" s="88"/>
      <c r="BF27" s="88"/>
      <c r="BG27" s="88"/>
      <c r="BH27" s="88"/>
      <c r="BI27" s="88" t="s">
        <v>2</v>
      </c>
      <c r="BJ27" s="88"/>
      <c r="BK27" s="88"/>
      <c r="BL27" s="88"/>
      <c r="BM27" s="88"/>
      <c r="BN27" s="88"/>
      <c r="BO27" s="122"/>
    </row>
    <row r="28" spans="1:67" ht="12" customHeight="1" x14ac:dyDescent="0.25">
      <c r="A28" s="55"/>
      <c r="B28" s="56"/>
      <c r="C28" s="56"/>
      <c r="D28" s="56"/>
      <c r="E28" s="56"/>
      <c r="F28" s="56"/>
      <c r="G28" s="56"/>
      <c r="H28" s="57"/>
      <c r="I28" s="64"/>
      <c r="J28" s="65"/>
      <c r="K28" s="65"/>
      <c r="L28" s="65"/>
      <c r="M28" s="65"/>
      <c r="N28" s="65"/>
      <c r="O28" s="65"/>
      <c r="P28" s="65"/>
      <c r="Q28" s="6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6"/>
      <c r="AT28" s="126"/>
      <c r="AU28" s="126"/>
      <c r="AV28" s="126"/>
      <c r="AW28" s="126"/>
      <c r="AX28" s="126"/>
      <c r="AY28" s="126"/>
      <c r="AZ28" s="126"/>
      <c r="BA28" s="126"/>
      <c r="BB28" s="126"/>
      <c r="BC28" s="126"/>
      <c r="BD28" s="48"/>
      <c r="BE28" s="48"/>
      <c r="BF28" s="48"/>
      <c r="BG28" s="48"/>
      <c r="BH28" s="48"/>
      <c r="BI28" s="48"/>
      <c r="BJ28" s="48"/>
      <c r="BK28" s="48"/>
      <c r="BL28" s="48"/>
      <c r="BM28" s="48"/>
      <c r="BN28" s="48"/>
      <c r="BO28" s="50"/>
    </row>
    <row r="29" spans="1:67" ht="12" customHeight="1" x14ac:dyDescent="0.25">
      <c r="A29" s="55"/>
      <c r="B29" s="56"/>
      <c r="C29" s="56"/>
      <c r="D29" s="56"/>
      <c r="E29" s="56"/>
      <c r="F29" s="56"/>
      <c r="G29" s="56"/>
      <c r="H29" s="57"/>
      <c r="I29" s="64"/>
      <c r="J29" s="65"/>
      <c r="K29" s="65"/>
      <c r="L29" s="65"/>
      <c r="M29" s="65"/>
      <c r="N29" s="65"/>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6"/>
      <c r="AT29" s="126" t="str">
        <f>IF(BK23="","",IF(BK23="1ST","1ST",IF(BK23="2ND","3RD")))</f>
        <v/>
      </c>
      <c r="AU29" s="126"/>
      <c r="AV29" s="126"/>
      <c r="AW29" s="126"/>
      <c r="AX29" s="126"/>
      <c r="AY29" s="126" t="str">
        <f>IF(BK23="","",IF(BK23="1ST","2ND",IF(BK23="2ND","4TH")))</f>
        <v/>
      </c>
      <c r="AZ29" s="126"/>
      <c r="BA29" s="126"/>
      <c r="BB29" s="126"/>
      <c r="BC29" s="126"/>
      <c r="BD29" s="48"/>
      <c r="BE29" s="48"/>
      <c r="BF29" s="48"/>
      <c r="BG29" s="48"/>
      <c r="BH29" s="48"/>
      <c r="BI29" s="48"/>
      <c r="BJ29" s="48"/>
      <c r="BK29" s="48"/>
      <c r="BL29" s="48"/>
      <c r="BM29" s="48"/>
      <c r="BN29" s="48"/>
      <c r="BO29" s="50"/>
    </row>
    <row r="30" spans="1:67" ht="12" customHeight="1" x14ac:dyDescent="0.25">
      <c r="A30" s="58"/>
      <c r="B30" s="59"/>
      <c r="C30" s="59"/>
      <c r="D30" s="59"/>
      <c r="E30" s="59"/>
      <c r="F30" s="59"/>
      <c r="G30" s="59"/>
      <c r="H30" s="60"/>
      <c r="I30" s="67"/>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9"/>
      <c r="AT30" s="126"/>
      <c r="AU30" s="126"/>
      <c r="AV30" s="126"/>
      <c r="AW30" s="126"/>
      <c r="AX30" s="126"/>
      <c r="AY30" s="126"/>
      <c r="AZ30" s="126"/>
      <c r="BA30" s="126"/>
      <c r="BB30" s="126"/>
      <c r="BC30" s="126"/>
      <c r="BD30" s="48"/>
      <c r="BE30" s="48"/>
      <c r="BF30" s="48"/>
      <c r="BG30" s="48"/>
      <c r="BH30" s="48"/>
      <c r="BI30" s="48"/>
      <c r="BJ30" s="48"/>
      <c r="BK30" s="48"/>
      <c r="BL30" s="48"/>
      <c r="BM30" s="48"/>
      <c r="BN30" s="48"/>
      <c r="BO30" s="50"/>
    </row>
    <row r="31" spans="1:67" ht="20.100000000000001" customHeight="1" x14ac:dyDescent="0.25">
      <c r="A31" s="35"/>
      <c r="B31" s="36"/>
      <c r="C31" s="36"/>
      <c r="D31" s="36"/>
      <c r="E31" s="36"/>
      <c r="F31" s="36"/>
      <c r="G31" s="36"/>
      <c r="H31" s="37"/>
      <c r="I31" s="41"/>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3"/>
      <c r="AT31" s="38"/>
      <c r="AU31" s="38"/>
      <c r="AV31" s="38"/>
      <c r="AW31" s="38"/>
      <c r="AX31" s="38"/>
      <c r="AY31" s="38"/>
      <c r="AZ31" s="38"/>
      <c r="BA31" s="38"/>
      <c r="BB31" s="38"/>
      <c r="BC31" s="38"/>
      <c r="BD31" s="39" t="str">
        <f>IF(OR(AT31="",AY31=""),"",IF(ISERROR(ROUND(AVERAGE(AT31,AY31),0)),"",ROUND(AVERAGE(AT31,AY31),0)))</f>
        <v/>
      </c>
      <c r="BE31" s="39"/>
      <c r="BF31" s="39"/>
      <c r="BG31" s="39"/>
      <c r="BH31" s="39"/>
      <c r="BI31" s="39" t="str">
        <f>IF(OR(AT31="",AY31="",BD31=""),"",IF(BD31&gt;=75,"PASSED","FAILED"))</f>
        <v/>
      </c>
      <c r="BJ31" s="39"/>
      <c r="BK31" s="39"/>
      <c r="BL31" s="39"/>
      <c r="BM31" s="39"/>
      <c r="BN31" s="39"/>
      <c r="BO31" s="40"/>
    </row>
    <row r="32" spans="1:67" ht="20.100000000000001" customHeight="1" x14ac:dyDescent="0.25">
      <c r="A32" s="35"/>
      <c r="B32" s="36"/>
      <c r="C32" s="36"/>
      <c r="D32" s="36"/>
      <c r="E32" s="36"/>
      <c r="F32" s="36"/>
      <c r="G32" s="36"/>
      <c r="H32" s="37"/>
      <c r="I32" s="41"/>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3"/>
      <c r="AT32" s="38"/>
      <c r="AU32" s="38"/>
      <c r="AV32" s="38"/>
      <c r="AW32" s="38"/>
      <c r="AX32" s="38"/>
      <c r="AY32" s="38"/>
      <c r="AZ32" s="38"/>
      <c r="BA32" s="38"/>
      <c r="BB32" s="38"/>
      <c r="BC32" s="38"/>
      <c r="BD32" s="80" t="str">
        <f t="shared" ref="BD32:BD42" si="0">IF(OR(AT32="",AY32=""),"",IF(ISERROR(ROUND(AVERAGE(AT32,AY32),0)),"",ROUND(AVERAGE(AT32,AY32),0)))</f>
        <v/>
      </c>
      <c r="BE32" s="81"/>
      <c r="BF32" s="81"/>
      <c r="BG32" s="81"/>
      <c r="BH32" s="82"/>
      <c r="BI32" s="80" t="str">
        <f t="shared" ref="BI32:BI42" si="1">IF(OR(AT32="",AY32="",BD32=""),"",IF(BD32&gt;=75,"PASSED","FAILED"))</f>
        <v/>
      </c>
      <c r="BJ32" s="81"/>
      <c r="BK32" s="81"/>
      <c r="BL32" s="81"/>
      <c r="BM32" s="81"/>
      <c r="BN32" s="81"/>
      <c r="BO32" s="96"/>
    </row>
    <row r="33" spans="1:67" ht="20.100000000000001" customHeight="1" x14ac:dyDescent="0.25">
      <c r="A33" s="35"/>
      <c r="B33" s="36"/>
      <c r="C33" s="36"/>
      <c r="D33" s="36"/>
      <c r="E33" s="36"/>
      <c r="F33" s="36"/>
      <c r="G33" s="36"/>
      <c r="H33" s="37"/>
      <c r="I33" s="41"/>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3"/>
      <c r="AT33" s="89"/>
      <c r="AU33" s="36"/>
      <c r="AV33" s="36"/>
      <c r="AW33" s="36"/>
      <c r="AX33" s="37"/>
      <c r="AY33" s="38"/>
      <c r="AZ33" s="38"/>
      <c r="BA33" s="38"/>
      <c r="BB33" s="38"/>
      <c r="BC33" s="38"/>
      <c r="BD33" s="80" t="str">
        <f t="shared" si="0"/>
        <v/>
      </c>
      <c r="BE33" s="81"/>
      <c r="BF33" s="81"/>
      <c r="BG33" s="81"/>
      <c r="BH33" s="82"/>
      <c r="BI33" s="80" t="str">
        <f t="shared" si="1"/>
        <v/>
      </c>
      <c r="BJ33" s="81"/>
      <c r="BK33" s="81"/>
      <c r="BL33" s="81"/>
      <c r="BM33" s="81"/>
      <c r="BN33" s="81"/>
      <c r="BO33" s="96"/>
    </row>
    <row r="34" spans="1:67" ht="20.100000000000001" customHeight="1" x14ac:dyDescent="0.25">
      <c r="A34" s="35"/>
      <c r="B34" s="36"/>
      <c r="C34" s="36"/>
      <c r="D34" s="36"/>
      <c r="E34" s="36"/>
      <c r="F34" s="36"/>
      <c r="G34" s="36"/>
      <c r="H34" s="37"/>
      <c r="I34" s="41"/>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3"/>
      <c r="AT34" s="38"/>
      <c r="AU34" s="38"/>
      <c r="AV34" s="38"/>
      <c r="AW34" s="38"/>
      <c r="AX34" s="38"/>
      <c r="AY34" s="38"/>
      <c r="AZ34" s="38"/>
      <c r="BA34" s="38"/>
      <c r="BB34" s="38"/>
      <c r="BC34" s="38"/>
      <c r="BD34" s="80" t="str">
        <f t="shared" si="0"/>
        <v/>
      </c>
      <c r="BE34" s="81"/>
      <c r="BF34" s="81"/>
      <c r="BG34" s="81"/>
      <c r="BH34" s="82"/>
      <c r="BI34" s="80" t="str">
        <f t="shared" si="1"/>
        <v/>
      </c>
      <c r="BJ34" s="81"/>
      <c r="BK34" s="81"/>
      <c r="BL34" s="81"/>
      <c r="BM34" s="81"/>
      <c r="BN34" s="81"/>
      <c r="BO34" s="96"/>
    </row>
    <row r="35" spans="1:67" ht="20.100000000000001" customHeight="1" x14ac:dyDescent="0.25">
      <c r="A35" s="35"/>
      <c r="B35" s="36"/>
      <c r="C35" s="36"/>
      <c r="D35" s="36"/>
      <c r="E35" s="36"/>
      <c r="F35" s="36"/>
      <c r="G35" s="36"/>
      <c r="H35" s="37"/>
      <c r="I35" s="41"/>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3"/>
      <c r="AT35" s="38"/>
      <c r="AU35" s="38"/>
      <c r="AV35" s="38"/>
      <c r="AW35" s="38"/>
      <c r="AX35" s="38"/>
      <c r="AY35" s="38"/>
      <c r="AZ35" s="38"/>
      <c r="BA35" s="38"/>
      <c r="BB35" s="38"/>
      <c r="BC35" s="38"/>
      <c r="BD35" s="80" t="str">
        <f t="shared" si="0"/>
        <v/>
      </c>
      <c r="BE35" s="81"/>
      <c r="BF35" s="81"/>
      <c r="BG35" s="81"/>
      <c r="BH35" s="82"/>
      <c r="BI35" s="80" t="str">
        <f t="shared" si="1"/>
        <v/>
      </c>
      <c r="BJ35" s="81"/>
      <c r="BK35" s="81"/>
      <c r="BL35" s="81"/>
      <c r="BM35" s="81"/>
      <c r="BN35" s="81"/>
      <c r="BO35" s="96"/>
    </row>
    <row r="36" spans="1:67" ht="20.100000000000001" customHeight="1" x14ac:dyDescent="0.25">
      <c r="A36" s="35"/>
      <c r="B36" s="36"/>
      <c r="C36" s="36"/>
      <c r="D36" s="36"/>
      <c r="E36" s="36"/>
      <c r="F36" s="36"/>
      <c r="G36" s="36"/>
      <c r="H36" s="37"/>
      <c r="I36" s="41"/>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3"/>
      <c r="AT36" s="90"/>
      <c r="AU36" s="90"/>
      <c r="AV36" s="90"/>
      <c r="AW36" s="90"/>
      <c r="AX36" s="90"/>
      <c r="AY36" s="90"/>
      <c r="AZ36" s="90"/>
      <c r="BA36" s="90"/>
      <c r="BB36" s="90"/>
      <c r="BC36" s="90"/>
      <c r="BD36" s="80" t="str">
        <f t="shared" si="0"/>
        <v/>
      </c>
      <c r="BE36" s="81"/>
      <c r="BF36" s="81"/>
      <c r="BG36" s="81"/>
      <c r="BH36" s="82"/>
      <c r="BI36" s="80" t="str">
        <f t="shared" si="1"/>
        <v/>
      </c>
      <c r="BJ36" s="81"/>
      <c r="BK36" s="81"/>
      <c r="BL36" s="81"/>
      <c r="BM36" s="81"/>
      <c r="BN36" s="81"/>
      <c r="BO36" s="96"/>
    </row>
    <row r="37" spans="1:67" ht="20.100000000000001" customHeight="1" x14ac:dyDescent="0.25">
      <c r="A37" s="35"/>
      <c r="B37" s="36"/>
      <c r="C37" s="36"/>
      <c r="D37" s="36"/>
      <c r="E37" s="36"/>
      <c r="F37" s="36"/>
      <c r="G37" s="36"/>
      <c r="H37" s="37"/>
      <c r="I37" s="41"/>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3"/>
      <c r="AT37" s="89"/>
      <c r="AU37" s="36"/>
      <c r="AV37" s="36"/>
      <c r="AW37" s="36"/>
      <c r="AX37" s="37"/>
      <c r="AY37" s="89"/>
      <c r="AZ37" s="36"/>
      <c r="BA37" s="36"/>
      <c r="BB37" s="36"/>
      <c r="BC37" s="37"/>
      <c r="BD37" s="80" t="str">
        <f t="shared" si="0"/>
        <v/>
      </c>
      <c r="BE37" s="81"/>
      <c r="BF37" s="81"/>
      <c r="BG37" s="81"/>
      <c r="BH37" s="82"/>
      <c r="BI37" s="80" t="str">
        <f t="shared" si="1"/>
        <v/>
      </c>
      <c r="BJ37" s="81"/>
      <c r="BK37" s="81"/>
      <c r="BL37" s="81"/>
      <c r="BM37" s="81"/>
      <c r="BN37" s="81"/>
      <c r="BO37" s="96"/>
    </row>
    <row r="38" spans="1:67" ht="20.100000000000001" customHeight="1" x14ac:dyDescent="0.25">
      <c r="A38" s="35"/>
      <c r="B38" s="36"/>
      <c r="C38" s="36"/>
      <c r="D38" s="36"/>
      <c r="E38" s="36"/>
      <c r="F38" s="36"/>
      <c r="G38" s="36"/>
      <c r="H38" s="37"/>
      <c r="I38" s="41"/>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3"/>
      <c r="AT38" s="89"/>
      <c r="AU38" s="36"/>
      <c r="AV38" s="36"/>
      <c r="AW38" s="36"/>
      <c r="AX38" s="37"/>
      <c r="AY38" s="89"/>
      <c r="AZ38" s="36"/>
      <c r="BA38" s="36"/>
      <c r="BB38" s="36"/>
      <c r="BC38" s="37"/>
      <c r="BD38" s="80" t="str">
        <f t="shared" si="0"/>
        <v/>
      </c>
      <c r="BE38" s="81"/>
      <c r="BF38" s="81"/>
      <c r="BG38" s="81"/>
      <c r="BH38" s="82"/>
      <c r="BI38" s="80" t="str">
        <f t="shared" si="1"/>
        <v/>
      </c>
      <c r="BJ38" s="81"/>
      <c r="BK38" s="81"/>
      <c r="BL38" s="81"/>
      <c r="BM38" s="81"/>
      <c r="BN38" s="81"/>
      <c r="BO38" s="96"/>
    </row>
    <row r="39" spans="1:67" ht="20.100000000000001" customHeight="1" x14ac:dyDescent="0.25">
      <c r="A39" s="35"/>
      <c r="B39" s="36"/>
      <c r="C39" s="36"/>
      <c r="D39" s="36"/>
      <c r="E39" s="36"/>
      <c r="F39" s="36"/>
      <c r="G39" s="36"/>
      <c r="H39" s="37"/>
      <c r="I39" s="41"/>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3"/>
      <c r="AT39" s="89"/>
      <c r="AU39" s="36"/>
      <c r="AV39" s="36"/>
      <c r="AW39" s="36"/>
      <c r="AX39" s="37"/>
      <c r="AY39" s="89"/>
      <c r="AZ39" s="36"/>
      <c r="BA39" s="36"/>
      <c r="BB39" s="36"/>
      <c r="BC39" s="37"/>
      <c r="BD39" s="80" t="str">
        <f t="shared" si="0"/>
        <v/>
      </c>
      <c r="BE39" s="81"/>
      <c r="BF39" s="81"/>
      <c r="BG39" s="81"/>
      <c r="BH39" s="82"/>
      <c r="BI39" s="80" t="str">
        <f t="shared" si="1"/>
        <v/>
      </c>
      <c r="BJ39" s="81"/>
      <c r="BK39" s="81"/>
      <c r="BL39" s="81"/>
      <c r="BM39" s="81"/>
      <c r="BN39" s="81"/>
      <c r="BO39" s="96"/>
    </row>
    <row r="40" spans="1:67" ht="20.100000000000001" customHeight="1" x14ac:dyDescent="0.25">
      <c r="A40" s="35"/>
      <c r="B40" s="36"/>
      <c r="C40" s="36"/>
      <c r="D40" s="36"/>
      <c r="E40" s="36"/>
      <c r="F40" s="36"/>
      <c r="G40" s="36"/>
      <c r="H40" s="37"/>
      <c r="I40" s="41"/>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3"/>
      <c r="AT40" s="89"/>
      <c r="AU40" s="36"/>
      <c r="AV40" s="36"/>
      <c r="AW40" s="36"/>
      <c r="AX40" s="37"/>
      <c r="AY40" s="89"/>
      <c r="AZ40" s="36"/>
      <c r="BA40" s="36"/>
      <c r="BB40" s="36"/>
      <c r="BC40" s="37"/>
      <c r="BD40" s="80" t="str">
        <f t="shared" si="0"/>
        <v/>
      </c>
      <c r="BE40" s="81"/>
      <c r="BF40" s="81"/>
      <c r="BG40" s="81"/>
      <c r="BH40" s="82"/>
      <c r="BI40" s="80" t="str">
        <f t="shared" si="1"/>
        <v/>
      </c>
      <c r="BJ40" s="81"/>
      <c r="BK40" s="81"/>
      <c r="BL40" s="81"/>
      <c r="BM40" s="81"/>
      <c r="BN40" s="81"/>
      <c r="BO40" s="96"/>
    </row>
    <row r="41" spans="1:67" ht="20.100000000000001" customHeight="1" x14ac:dyDescent="0.25">
      <c r="A41" s="35"/>
      <c r="B41" s="36"/>
      <c r="C41" s="36"/>
      <c r="D41" s="36"/>
      <c r="E41" s="36"/>
      <c r="F41" s="36"/>
      <c r="G41" s="36"/>
      <c r="H41" s="37"/>
      <c r="I41" s="41"/>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3"/>
      <c r="AT41" s="95"/>
      <c r="AU41" s="95"/>
      <c r="AV41" s="95"/>
      <c r="AW41" s="95"/>
      <c r="AX41" s="95"/>
      <c r="AY41" s="95"/>
      <c r="AZ41" s="95"/>
      <c r="BA41" s="95"/>
      <c r="BB41" s="95"/>
      <c r="BC41" s="95"/>
      <c r="BD41" s="80" t="str">
        <f t="shared" si="0"/>
        <v/>
      </c>
      <c r="BE41" s="81"/>
      <c r="BF41" s="81"/>
      <c r="BG41" s="81"/>
      <c r="BH41" s="82"/>
      <c r="BI41" s="80" t="str">
        <f t="shared" si="1"/>
        <v/>
      </c>
      <c r="BJ41" s="81"/>
      <c r="BK41" s="81"/>
      <c r="BL41" s="81"/>
      <c r="BM41" s="81"/>
      <c r="BN41" s="81"/>
      <c r="BO41" s="96"/>
    </row>
    <row r="42" spans="1:67" ht="20.100000000000001" customHeight="1" x14ac:dyDescent="0.25">
      <c r="A42" s="35"/>
      <c r="B42" s="36"/>
      <c r="C42" s="36"/>
      <c r="D42" s="36"/>
      <c r="E42" s="36"/>
      <c r="F42" s="36"/>
      <c r="G42" s="36"/>
      <c r="H42" s="37"/>
      <c r="I42" s="41"/>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3"/>
      <c r="AT42" s="38"/>
      <c r="AU42" s="38"/>
      <c r="AV42" s="38"/>
      <c r="AW42" s="38"/>
      <c r="AX42" s="38"/>
      <c r="AY42" s="38"/>
      <c r="AZ42" s="38"/>
      <c r="BA42" s="38"/>
      <c r="BB42" s="38"/>
      <c r="BC42" s="38"/>
      <c r="BD42" s="80" t="str">
        <f t="shared" si="0"/>
        <v/>
      </c>
      <c r="BE42" s="81"/>
      <c r="BF42" s="81"/>
      <c r="BG42" s="81"/>
      <c r="BH42" s="82"/>
      <c r="BI42" s="80" t="str">
        <f t="shared" si="1"/>
        <v/>
      </c>
      <c r="BJ42" s="81"/>
      <c r="BK42" s="81"/>
      <c r="BL42" s="81"/>
      <c r="BM42" s="81"/>
      <c r="BN42" s="81"/>
      <c r="BO42" s="96"/>
    </row>
    <row r="43" spans="1:67" ht="20.100000000000001" customHeight="1" thickBot="1" x14ac:dyDescent="0.3">
      <c r="A43" s="74" t="s">
        <v>40</v>
      </c>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6"/>
      <c r="BD43" s="84" t="str">
        <f>IFERROR(ROUND((SUM(BD31:BD42,BD58:BD61)-SUM(AT58:AT61))/(COUNTA(BD31:BD42)-COUNTBLANK(BD31:BD42)),0),"")</f>
        <v/>
      </c>
      <c r="BE43" s="85"/>
      <c r="BF43" s="85"/>
      <c r="BG43" s="85"/>
      <c r="BH43" s="86"/>
      <c r="BI43" s="84" t="str">
        <f>IF(BD43="","",IF(BD43&gt;=75,"PASSED","FAILED"))</f>
        <v/>
      </c>
      <c r="BJ43" s="85"/>
      <c r="BK43" s="85"/>
      <c r="BL43" s="85"/>
      <c r="BM43" s="85"/>
      <c r="BN43" s="85"/>
      <c r="BO43" s="87"/>
    </row>
    <row r="44" spans="1:67" ht="3" customHeight="1" x14ac:dyDescent="0.25">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row>
    <row r="45" spans="1:67" x14ac:dyDescent="0.25">
      <c r="A45" s="45" t="s">
        <v>41</v>
      </c>
      <c r="B45" s="45"/>
      <c r="C45" s="45"/>
      <c r="D45" s="45"/>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row>
    <row r="46" spans="1:67" ht="3" customHeight="1" x14ac:dyDescent="0.25">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row>
    <row r="47" spans="1:67" x14ac:dyDescent="0.25">
      <c r="A47" s="46" t="s">
        <v>76</v>
      </c>
      <c r="B47" s="46"/>
      <c r="C47" s="46"/>
      <c r="D47" s="46"/>
      <c r="E47" s="46"/>
      <c r="V47" s="46" t="s">
        <v>78</v>
      </c>
      <c r="W47" s="46"/>
      <c r="X47" s="46"/>
      <c r="Y47" s="46"/>
      <c r="Z47" s="46"/>
      <c r="AA47" s="46"/>
      <c r="AB47" s="46"/>
      <c r="AC47" s="46"/>
      <c r="AD47" s="46"/>
      <c r="AE47" s="46"/>
      <c r="AF47" s="8"/>
      <c r="AG47" s="91"/>
      <c r="AH47" s="91"/>
      <c r="AI47" s="91"/>
      <c r="AJ47" s="91"/>
      <c r="AK47" s="91"/>
      <c r="AL47" s="91"/>
      <c r="AM47" s="91"/>
      <c r="AN47" s="91"/>
      <c r="AO47" s="91"/>
      <c r="AP47" s="91"/>
      <c r="AQ47" s="91"/>
      <c r="AR47" s="91"/>
      <c r="AS47" s="91"/>
      <c r="AT47" s="91"/>
      <c r="AV47" s="8"/>
      <c r="AW47" s="8"/>
      <c r="AX47" s="8"/>
      <c r="AY47" s="8"/>
      <c r="AZ47" s="8" t="s">
        <v>79</v>
      </c>
      <c r="BA47" s="8"/>
      <c r="BB47" s="8"/>
      <c r="BC47" s="8"/>
      <c r="BD47" s="8"/>
      <c r="BE47" s="8"/>
      <c r="BF47" s="8"/>
    </row>
    <row r="48" spans="1:67" x14ac:dyDescent="0.25">
      <c r="A48" s="99"/>
      <c r="B48" s="99"/>
      <c r="C48" s="99"/>
      <c r="D48" s="99"/>
      <c r="E48" s="99"/>
      <c r="F48" s="99"/>
      <c r="G48" s="99"/>
      <c r="H48" s="99"/>
      <c r="I48" s="99"/>
      <c r="J48" s="99"/>
      <c r="K48" s="99"/>
      <c r="L48" s="99"/>
      <c r="M48" s="99"/>
      <c r="N48" s="99"/>
      <c r="O48" s="99"/>
      <c r="P48" s="99"/>
      <c r="Q48" s="99"/>
      <c r="R48" s="7"/>
      <c r="S48" s="7"/>
      <c r="T48" s="7"/>
      <c r="U48" s="7"/>
      <c r="V48" s="7"/>
      <c r="W48" s="7"/>
      <c r="X48" s="7"/>
      <c r="Y48" s="91"/>
      <c r="Z48" s="91"/>
      <c r="AA48" s="91"/>
      <c r="AB48" s="91"/>
      <c r="AC48" s="91"/>
      <c r="AD48" s="91"/>
      <c r="AE48" s="91"/>
      <c r="AF48" s="91"/>
      <c r="AG48" s="91"/>
      <c r="AH48" s="91"/>
      <c r="AI48" s="91"/>
      <c r="AJ48" s="91"/>
      <c r="AK48" s="91"/>
      <c r="AL48" s="91"/>
      <c r="AM48" s="91"/>
      <c r="AN48" s="91"/>
      <c r="AO48" s="91"/>
      <c r="AP48" s="7"/>
      <c r="AQ48" s="7"/>
      <c r="AR48" s="7"/>
      <c r="AS48" s="7"/>
      <c r="AU48" s="99"/>
      <c r="AV48" s="99"/>
      <c r="AW48" s="99"/>
      <c r="AX48" s="99"/>
      <c r="AY48" s="99"/>
      <c r="AZ48" s="99"/>
      <c r="BA48" s="99"/>
      <c r="BB48" s="99"/>
      <c r="BC48" s="99"/>
      <c r="BD48" s="99"/>
    </row>
    <row r="49" spans="1:67" x14ac:dyDescent="0.25">
      <c r="A49" s="77"/>
      <c r="B49" s="77"/>
      <c r="C49" s="77"/>
      <c r="D49" s="77"/>
      <c r="E49" s="77"/>
      <c r="F49" s="77"/>
      <c r="G49" s="77"/>
      <c r="H49" s="77"/>
      <c r="I49" s="77"/>
      <c r="J49" s="77"/>
      <c r="K49" s="77"/>
      <c r="L49" s="77"/>
      <c r="M49" s="77"/>
      <c r="N49" s="77"/>
      <c r="O49" s="77"/>
      <c r="P49" s="77"/>
      <c r="Q49" s="77"/>
      <c r="R49" s="77"/>
      <c r="S49" s="77"/>
      <c r="Y49" s="77"/>
      <c r="Z49" s="77"/>
      <c r="AA49" s="77"/>
      <c r="AB49" s="77"/>
      <c r="AC49" s="77"/>
      <c r="AD49" s="77"/>
      <c r="AE49" s="77"/>
      <c r="AF49" s="77"/>
      <c r="AG49" s="77"/>
      <c r="AH49" s="77"/>
      <c r="AI49" s="77"/>
      <c r="AJ49" s="77"/>
      <c r="AK49" s="77"/>
      <c r="AL49" s="77"/>
      <c r="AM49" s="77"/>
      <c r="AN49" s="77"/>
      <c r="AO49" s="77"/>
      <c r="AP49" s="77"/>
      <c r="AQ49" s="77"/>
      <c r="AR49" s="77"/>
      <c r="AS49" s="77"/>
      <c r="AU49" s="27"/>
      <c r="AV49" s="27"/>
      <c r="AW49" s="27"/>
      <c r="AX49" s="27"/>
      <c r="AY49" s="27"/>
      <c r="AZ49" s="78"/>
      <c r="BA49" s="78"/>
      <c r="BB49" s="78"/>
      <c r="BC49" s="78"/>
      <c r="BD49" s="78"/>
      <c r="BE49" s="78"/>
      <c r="BF49" s="78"/>
      <c r="BG49" s="78"/>
      <c r="BH49" s="78"/>
      <c r="BI49" s="78"/>
      <c r="BJ49" s="78"/>
      <c r="BK49" s="78"/>
      <c r="BL49" s="78"/>
      <c r="BM49" s="78"/>
      <c r="BN49" s="78"/>
      <c r="BO49" s="78"/>
    </row>
    <row r="50" spans="1:67" x14ac:dyDescent="0.25">
      <c r="A50" s="79" t="s">
        <v>77</v>
      </c>
      <c r="B50" s="79"/>
      <c r="C50" s="79"/>
      <c r="D50" s="79"/>
      <c r="E50" s="79"/>
      <c r="F50" s="79"/>
      <c r="G50" s="79"/>
      <c r="H50" s="79"/>
      <c r="I50" s="79"/>
      <c r="J50" s="79"/>
      <c r="K50" s="79"/>
      <c r="L50" s="79"/>
      <c r="M50" s="79"/>
      <c r="N50" s="79"/>
      <c r="O50" s="79"/>
      <c r="P50" s="79"/>
      <c r="Q50" s="79"/>
      <c r="R50" s="79"/>
      <c r="S50" s="79"/>
      <c r="T50" s="7"/>
      <c r="U50" s="7"/>
      <c r="Y50" s="79" t="s">
        <v>86</v>
      </c>
      <c r="Z50" s="79"/>
      <c r="AA50" s="79"/>
      <c r="AB50" s="79"/>
      <c r="AC50" s="79"/>
      <c r="AD50" s="79"/>
      <c r="AE50" s="79"/>
      <c r="AF50" s="79"/>
      <c r="AG50" s="79"/>
      <c r="AH50" s="79"/>
      <c r="AI50" s="79"/>
      <c r="AJ50" s="79"/>
      <c r="AK50" s="79"/>
      <c r="AL50" s="79"/>
      <c r="AM50" s="79"/>
      <c r="AN50" s="79"/>
      <c r="AO50" s="79"/>
      <c r="AP50" s="79"/>
      <c r="AQ50" s="79"/>
      <c r="AR50" s="79"/>
      <c r="AS50" s="79"/>
    </row>
    <row r="51" spans="1:67" ht="9" customHeight="1" x14ac:dyDescent="0.25">
      <c r="A51" s="99"/>
      <c r="B51" s="99"/>
      <c r="C51" s="99"/>
      <c r="D51" s="99"/>
      <c r="E51" s="99"/>
      <c r="F51" s="99"/>
      <c r="G51" s="99"/>
      <c r="H51" s="99"/>
      <c r="I51" s="99"/>
      <c r="J51" s="99"/>
      <c r="K51" s="99"/>
      <c r="L51" s="99"/>
      <c r="M51" s="99"/>
      <c r="N51" s="99"/>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c r="AU51" s="99"/>
      <c r="AV51" s="99"/>
      <c r="AW51" s="99"/>
      <c r="AX51" s="99"/>
      <c r="AY51" s="99"/>
      <c r="AZ51" s="99"/>
      <c r="BA51" s="99"/>
      <c r="BB51" s="99"/>
      <c r="BC51" s="99"/>
      <c r="BD51" s="99"/>
      <c r="BE51" s="99"/>
      <c r="BF51" s="99"/>
      <c r="BG51" s="99"/>
      <c r="BH51" s="99"/>
      <c r="BI51" s="99"/>
      <c r="BJ51" s="99"/>
      <c r="BK51" s="99"/>
      <c r="BL51" s="99"/>
      <c r="BM51" s="99"/>
      <c r="BN51" s="99"/>
      <c r="BO51" s="99"/>
    </row>
    <row r="52" spans="1:67" x14ac:dyDescent="0.25">
      <c r="A52" s="8" t="s">
        <v>43</v>
      </c>
      <c r="B52" s="8"/>
      <c r="C52" s="8"/>
      <c r="D52" s="8"/>
      <c r="E52" s="8"/>
      <c r="F52" s="8"/>
      <c r="G52" s="8"/>
      <c r="H52" s="8"/>
      <c r="I52" s="70" t="s">
        <v>101</v>
      </c>
      <c r="J52" s="70"/>
      <c r="K52" s="70"/>
      <c r="L52" s="70"/>
      <c r="M52" s="70"/>
      <c r="N52" s="70"/>
      <c r="O52" s="70"/>
      <c r="P52" s="70"/>
      <c r="Q52" s="70"/>
      <c r="R52" s="70"/>
      <c r="S52" s="128"/>
      <c r="T52" s="128"/>
      <c r="U52" s="128"/>
      <c r="V52" s="128"/>
      <c r="W52" s="70" t="s">
        <v>100</v>
      </c>
      <c r="X52" s="70"/>
      <c r="Y52" s="70"/>
      <c r="Z52" s="70"/>
      <c r="AA52" s="70"/>
      <c r="AB52" s="70"/>
      <c r="AC52" s="128"/>
      <c r="AD52" s="128"/>
      <c r="AE52" s="128"/>
      <c r="AF52" s="128"/>
      <c r="AH52" s="70" t="s">
        <v>35</v>
      </c>
      <c r="AI52" s="70"/>
      <c r="AJ52" s="70"/>
      <c r="AK52" s="70"/>
      <c r="AL52" s="83"/>
      <c r="AM52" s="83"/>
      <c r="AN52" s="83"/>
      <c r="AO52" s="83"/>
      <c r="AP52" s="83"/>
      <c r="AQ52" s="83"/>
      <c r="AR52" s="83"/>
      <c r="AS52" s="83"/>
      <c r="AT52" s="83"/>
      <c r="AU52" s="83"/>
      <c r="AV52" s="83"/>
      <c r="AW52" s="83"/>
      <c r="AX52" s="83"/>
      <c r="AY52" s="83"/>
      <c r="AZ52" s="83"/>
      <c r="BA52" s="83"/>
      <c r="BB52" s="83"/>
      <c r="BC52" s="83"/>
      <c r="BD52" s="83"/>
      <c r="BE52" s="83"/>
      <c r="BF52" s="45" t="s">
        <v>44</v>
      </c>
      <c r="BG52" s="45"/>
      <c r="BH52" s="45"/>
      <c r="BI52" s="45"/>
      <c r="BJ52" s="45"/>
      <c r="BK52" s="129"/>
      <c r="BL52" s="129"/>
      <c r="BM52" s="129"/>
      <c r="BN52" s="129"/>
      <c r="BO52" s="129"/>
    </row>
    <row r="53" spans="1:67" ht="3" customHeight="1" thickBot="1" x14ac:dyDescent="0.3">
      <c r="A53" s="100"/>
      <c r="B53" s="100"/>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100"/>
      <c r="AI53" s="100"/>
      <c r="AJ53" s="100"/>
      <c r="AK53" s="100"/>
      <c r="AL53" s="100"/>
      <c r="AM53" s="100"/>
      <c r="AN53" s="100"/>
      <c r="AO53" s="100"/>
      <c r="AP53" s="100"/>
      <c r="AQ53" s="100"/>
      <c r="AR53" s="100"/>
      <c r="AS53" s="100"/>
      <c r="AT53" s="100"/>
      <c r="AU53" s="100"/>
      <c r="AV53" s="100"/>
      <c r="AW53" s="100"/>
      <c r="AX53" s="100"/>
      <c r="AY53" s="100"/>
      <c r="AZ53" s="100"/>
      <c r="BA53" s="100"/>
      <c r="BB53" s="100"/>
      <c r="BC53" s="100"/>
      <c r="BD53" s="100"/>
      <c r="BE53" s="100"/>
      <c r="BF53" s="100"/>
      <c r="BG53" s="100"/>
      <c r="BH53" s="100"/>
      <c r="BI53" s="100"/>
      <c r="BJ53" s="100"/>
      <c r="BK53" s="100"/>
      <c r="BL53" s="100"/>
      <c r="BM53" s="100"/>
      <c r="BN53" s="100"/>
      <c r="BO53" s="100"/>
    </row>
    <row r="54" spans="1:67" ht="12" customHeight="1" x14ac:dyDescent="0.25">
      <c r="A54" s="52" t="s">
        <v>69</v>
      </c>
      <c r="B54" s="53"/>
      <c r="C54" s="53"/>
      <c r="D54" s="53"/>
      <c r="E54" s="53"/>
      <c r="F54" s="53"/>
      <c r="G54" s="53"/>
      <c r="H54" s="54"/>
      <c r="I54" s="61" t="s">
        <v>97</v>
      </c>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3"/>
      <c r="AT54" s="115" t="s">
        <v>39</v>
      </c>
      <c r="AU54" s="53"/>
      <c r="AV54" s="53"/>
      <c r="AW54" s="53"/>
      <c r="AX54" s="54"/>
      <c r="AY54" s="53" t="s">
        <v>45</v>
      </c>
      <c r="AZ54" s="53"/>
      <c r="BA54" s="53"/>
      <c r="BB54" s="53"/>
      <c r="BC54" s="54"/>
      <c r="BD54" s="47" t="s">
        <v>46</v>
      </c>
      <c r="BE54" s="47"/>
      <c r="BF54" s="47"/>
      <c r="BG54" s="47"/>
      <c r="BH54" s="47"/>
      <c r="BI54" s="47" t="s">
        <v>2</v>
      </c>
      <c r="BJ54" s="47"/>
      <c r="BK54" s="47"/>
      <c r="BL54" s="47"/>
      <c r="BM54" s="47"/>
      <c r="BN54" s="47"/>
      <c r="BO54" s="49"/>
    </row>
    <row r="55" spans="1:67" ht="12" customHeight="1" x14ac:dyDescent="0.25">
      <c r="A55" s="55"/>
      <c r="B55" s="56"/>
      <c r="C55" s="56"/>
      <c r="D55" s="56"/>
      <c r="E55" s="56"/>
      <c r="F55" s="56"/>
      <c r="G55" s="56"/>
      <c r="H55" s="57"/>
      <c r="I55" s="64"/>
      <c r="J55" s="65"/>
      <c r="K55" s="65"/>
      <c r="L55" s="65"/>
      <c r="M55" s="65"/>
      <c r="N55" s="65"/>
      <c r="O55" s="65"/>
      <c r="P55" s="65"/>
      <c r="Q55" s="65"/>
      <c r="R55" s="65"/>
      <c r="S55" s="65"/>
      <c r="T55" s="65"/>
      <c r="U55" s="65"/>
      <c r="V55" s="65"/>
      <c r="W55" s="65"/>
      <c r="X55" s="65"/>
      <c r="Y55" s="65"/>
      <c r="Z55" s="65"/>
      <c r="AA55" s="65"/>
      <c r="AB55" s="65"/>
      <c r="AC55" s="65"/>
      <c r="AD55" s="65"/>
      <c r="AE55" s="65"/>
      <c r="AF55" s="65"/>
      <c r="AG55" s="65"/>
      <c r="AH55" s="65"/>
      <c r="AI55" s="65"/>
      <c r="AJ55" s="65"/>
      <c r="AK55" s="65"/>
      <c r="AL55" s="65"/>
      <c r="AM55" s="65"/>
      <c r="AN55" s="65"/>
      <c r="AO55" s="65"/>
      <c r="AP55" s="65"/>
      <c r="AQ55" s="65"/>
      <c r="AR55" s="65"/>
      <c r="AS55" s="66"/>
      <c r="AT55" s="116"/>
      <c r="AU55" s="56"/>
      <c r="AV55" s="56"/>
      <c r="AW55" s="56"/>
      <c r="AX55" s="57"/>
      <c r="AY55" s="56"/>
      <c r="AZ55" s="56"/>
      <c r="BA55" s="56"/>
      <c r="BB55" s="56"/>
      <c r="BC55" s="57"/>
      <c r="BD55" s="48"/>
      <c r="BE55" s="48"/>
      <c r="BF55" s="48"/>
      <c r="BG55" s="48"/>
      <c r="BH55" s="48"/>
      <c r="BI55" s="48"/>
      <c r="BJ55" s="48"/>
      <c r="BK55" s="48"/>
      <c r="BL55" s="48"/>
      <c r="BM55" s="48"/>
      <c r="BN55" s="48"/>
      <c r="BO55" s="50"/>
    </row>
    <row r="56" spans="1:67" ht="12" customHeight="1" x14ac:dyDescent="0.25">
      <c r="A56" s="55"/>
      <c r="B56" s="56"/>
      <c r="C56" s="56"/>
      <c r="D56" s="56"/>
      <c r="E56" s="56"/>
      <c r="F56" s="56"/>
      <c r="G56" s="56"/>
      <c r="H56" s="57"/>
      <c r="I56" s="64"/>
      <c r="J56" s="65"/>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6"/>
      <c r="AT56" s="116"/>
      <c r="AU56" s="56"/>
      <c r="AV56" s="56"/>
      <c r="AW56" s="56"/>
      <c r="AX56" s="57"/>
      <c r="AY56" s="56"/>
      <c r="AZ56" s="56"/>
      <c r="BA56" s="56"/>
      <c r="BB56" s="56"/>
      <c r="BC56" s="57"/>
      <c r="BD56" s="48"/>
      <c r="BE56" s="48"/>
      <c r="BF56" s="48"/>
      <c r="BG56" s="48"/>
      <c r="BH56" s="48"/>
      <c r="BI56" s="48"/>
      <c r="BJ56" s="48"/>
      <c r="BK56" s="48"/>
      <c r="BL56" s="48"/>
      <c r="BM56" s="48"/>
      <c r="BN56" s="48"/>
      <c r="BO56" s="50"/>
    </row>
    <row r="57" spans="1:67" ht="12" customHeight="1" x14ac:dyDescent="0.25">
      <c r="A57" s="58"/>
      <c r="B57" s="59"/>
      <c r="C57" s="59"/>
      <c r="D57" s="59"/>
      <c r="E57" s="59"/>
      <c r="F57" s="59"/>
      <c r="G57" s="59"/>
      <c r="H57" s="60"/>
      <c r="I57" s="67"/>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9"/>
      <c r="AT57" s="117"/>
      <c r="AU57" s="59"/>
      <c r="AV57" s="59"/>
      <c r="AW57" s="59"/>
      <c r="AX57" s="60"/>
      <c r="AY57" s="59"/>
      <c r="AZ57" s="59"/>
      <c r="BA57" s="59"/>
      <c r="BB57" s="59"/>
      <c r="BC57" s="60"/>
      <c r="BD57" s="48"/>
      <c r="BE57" s="48"/>
      <c r="BF57" s="48"/>
      <c r="BG57" s="48"/>
      <c r="BH57" s="48"/>
      <c r="BI57" s="48"/>
      <c r="BJ57" s="48"/>
      <c r="BK57" s="48"/>
      <c r="BL57" s="48"/>
      <c r="BM57" s="48"/>
      <c r="BN57" s="48"/>
      <c r="BO57" s="50"/>
    </row>
    <row r="58" spans="1:67" ht="18.95" customHeight="1" x14ac:dyDescent="0.25">
      <c r="A58" s="35"/>
      <c r="B58" s="36"/>
      <c r="C58" s="36"/>
      <c r="D58" s="36"/>
      <c r="E58" s="36"/>
      <c r="F58" s="36"/>
      <c r="G58" s="36"/>
      <c r="H58" s="37"/>
      <c r="I58" s="41"/>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3"/>
      <c r="AT58" s="38"/>
      <c r="AU58" s="38"/>
      <c r="AV58" s="38"/>
      <c r="AW58" s="38"/>
      <c r="AX58" s="38"/>
      <c r="AY58" s="38"/>
      <c r="AZ58" s="38"/>
      <c r="BA58" s="38"/>
      <c r="BB58" s="38"/>
      <c r="BC58" s="38"/>
      <c r="BD58" s="39" t="str">
        <f>IF(OR(AT58="",AY58=""),"",IF(ISERROR(ROUND(AVERAGE(AT58,AY58),0)),"",ROUND(AVERAGE(AT58,AY58),0)))</f>
        <v/>
      </c>
      <c r="BE58" s="39"/>
      <c r="BF58" s="39"/>
      <c r="BG58" s="39"/>
      <c r="BH58" s="39"/>
      <c r="BI58" s="39" t="str">
        <f t="shared" ref="BI58:BI61" si="2">IF(OR(AT58="",AY58="",BD58=""),"",IF(BD58&gt;=75,"PASSED","FAILED"))</f>
        <v/>
      </c>
      <c r="BJ58" s="39"/>
      <c r="BK58" s="39"/>
      <c r="BL58" s="39"/>
      <c r="BM58" s="39"/>
      <c r="BN58" s="39"/>
      <c r="BO58" s="40"/>
    </row>
    <row r="59" spans="1:67" ht="18.95" customHeight="1" x14ac:dyDescent="0.25">
      <c r="A59" s="35"/>
      <c r="B59" s="36"/>
      <c r="C59" s="36"/>
      <c r="D59" s="36"/>
      <c r="E59" s="36"/>
      <c r="F59" s="36"/>
      <c r="G59" s="36"/>
      <c r="H59" s="37"/>
      <c r="I59" s="41"/>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3"/>
      <c r="AT59" s="89"/>
      <c r="AU59" s="36"/>
      <c r="AV59" s="36"/>
      <c r="AW59" s="36"/>
      <c r="AX59" s="37"/>
      <c r="AY59" s="89"/>
      <c r="AZ59" s="36"/>
      <c r="BA59" s="36"/>
      <c r="BB59" s="36"/>
      <c r="BC59" s="37"/>
      <c r="BD59" s="80" t="str">
        <f t="shared" ref="BD59:BD61" si="3">IF(OR(AT59="",AY59=""),"",IF(ISERROR(ROUND(AVERAGE(AT59,AY59),0)),"",ROUND(AVERAGE(AT59,AY59),0)))</f>
        <v/>
      </c>
      <c r="BE59" s="81"/>
      <c r="BF59" s="81"/>
      <c r="BG59" s="81"/>
      <c r="BH59" s="82"/>
      <c r="BI59" s="80" t="str">
        <f t="shared" si="2"/>
        <v/>
      </c>
      <c r="BJ59" s="81"/>
      <c r="BK59" s="81"/>
      <c r="BL59" s="81"/>
      <c r="BM59" s="81"/>
      <c r="BN59" s="81"/>
      <c r="BO59" s="96"/>
    </row>
    <row r="60" spans="1:67" ht="20.100000000000001" customHeight="1" x14ac:dyDescent="0.25">
      <c r="A60" s="35"/>
      <c r="B60" s="36"/>
      <c r="C60" s="36"/>
      <c r="D60" s="36"/>
      <c r="E60" s="36"/>
      <c r="F60" s="36"/>
      <c r="G60" s="36"/>
      <c r="H60" s="37"/>
      <c r="I60" s="41"/>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3"/>
      <c r="AT60" s="38"/>
      <c r="AU60" s="38"/>
      <c r="AV60" s="38"/>
      <c r="AW60" s="38"/>
      <c r="AX60" s="38"/>
      <c r="AY60" s="38"/>
      <c r="AZ60" s="38"/>
      <c r="BA60" s="38"/>
      <c r="BB60" s="38"/>
      <c r="BC60" s="38"/>
      <c r="BD60" s="39" t="str">
        <f t="shared" si="3"/>
        <v/>
      </c>
      <c r="BE60" s="39"/>
      <c r="BF60" s="39"/>
      <c r="BG60" s="39"/>
      <c r="BH60" s="39"/>
      <c r="BI60" s="39" t="str">
        <f t="shared" si="2"/>
        <v/>
      </c>
      <c r="BJ60" s="39"/>
      <c r="BK60" s="39"/>
      <c r="BL60" s="39"/>
      <c r="BM60" s="39"/>
      <c r="BN60" s="39"/>
      <c r="BO60" s="40"/>
    </row>
    <row r="61" spans="1:67" ht="18.95" customHeight="1" thickBot="1" x14ac:dyDescent="0.3">
      <c r="A61" s="108"/>
      <c r="B61" s="109"/>
      <c r="C61" s="109"/>
      <c r="D61" s="109"/>
      <c r="E61" s="109"/>
      <c r="F61" s="109"/>
      <c r="G61" s="109"/>
      <c r="H61" s="110"/>
      <c r="I61" s="92"/>
      <c r="J61" s="93"/>
      <c r="K61" s="93"/>
      <c r="L61" s="93"/>
      <c r="M61" s="93"/>
      <c r="N61" s="93"/>
      <c r="O61" s="93"/>
      <c r="P61" s="93"/>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4"/>
      <c r="AT61" s="111"/>
      <c r="AU61" s="111"/>
      <c r="AV61" s="111"/>
      <c r="AW61" s="111"/>
      <c r="AX61" s="111"/>
      <c r="AY61" s="111"/>
      <c r="AZ61" s="111"/>
      <c r="BA61" s="111"/>
      <c r="BB61" s="111"/>
      <c r="BC61" s="111"/>
      <c r="BD61" s="112" t="str">
        <f t="shared" si="3"/>
        <v/>
      </c>
      <c r="BE61" s="112"/>
      <c r="BF61" s="112"/>
      <c r="BG61" s="112"/>
      <c r="BH61" s="112"/>
      <c r="BI61" s="112" t="str">
        <f t="shared" si="2"/>
        <v/>
      </c>
      <c r="BJ61" s="112"/>
      <c r="BK61" s="112"/>
      <c r="BL61" s="112"/>
      <c r="BM61" s="112"/>
      <c r="BN61" s="112"/>
      <c r="BO61" s="113"/>
    </row>
    <row r="62" spans="1:67" ht="3" customHeight="1" x14ac:dyDescent="0.25">
      <c r="A62" s="118"/>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c r="Z62" s="118"/>
      <c r="AA62" s="118"/>
      <c r="AB62" s="118"/>
      <c r="AC62" s="118"/>
      <c r="AD62" s="118"/>
      <c r="AE62" s="118"/>
      <c r="AF62" s="118"/>
      <c r="AG62" s="118"/>
      <c r="AH62" s="118"/>
      <c r="AI62" s="118"/>
      <c r="AJ62" s="118"/>
      <c r="AK62" s="118"/>
      <c r="AL62" s="118"/>
      <c r="AM62" s="118"/>
      <c r="AN62" s="118"/>
      <c r="AO62" s="118"/>
      <c r="AP62" s="118"/>
      <c r="AQ62" s="118"/>
      <c r="AR62" s="118"/>
      <c r="AS62" s="118"/>
      <c r="AT62" s="118"/>
      <c r="AU62" s="118"/>
      <c r="AV62" s="118"/>
      <c r="AW62" s="118"/>
      <c r="AX62" s="118"/>
      <c r="AY62" s="118"/>
      <c r="AZ62" s="118"/>
      <c r="BA62" s="118"/>
      <c r="BB62" s="118"/>
      <c r="BC62" s="118"/>
      <c r="BD62" s="118"/>
      <c r="BE62" s="118"/>
      <c r="BF62" s="118"/>
      <c r="BG62" s="118"/>
      <c r="BH62" s="118"/>
      <c r="BI62" s="118"/>
      <c r="BJ62" s="118"/>
      <c r="BK62" s="118"/>
      <c r="BL62" s="118"/>
      <c r="BM62" s="118"/>
      <c r="BN62" s="118"/>
      <c r="BO62" s="118"/>
    </row>
    <row r="63" spans="1:67" ht="22.5" customHeight="1" x14ac:dyDescent="0.25">
      <c r="A63" s="101" t="s">
        <v>42</v>
      </c>
      <c r="B63" s="101"/>
      <c r="C63" s="101"/>
      <c r="D63" s="101"/>
      <c r="E63" s="101"/>
      <c r="F63" s="101"/>
      <c r="G63" s="101"/>
      <c r="H63" s="101"/>
      <c r="I63" s="101"/>
      <c r="J63" s="77"/>
      <c r="K63" s="131"/>
      <c r="L63" s="131"/>
      <c r="M63" s="131"/>
      <c r="N63" s="131"/>
      <c r="O63" s="131"/>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1"/>
      <c r="AM63" s="131"/>
      <c r="AN63" s="131"/>
      <c r="AO63" s="131"/>
      <c r="AP63" s="131"/>
      <c r="AQ63" s="131"/>
      <c r="AR63" s="131"/>
      <c r="AS63" s="131"/>
      <c r="AT63" s="102" t="s">
        <v>8</v>
      </c>
      <c r="AU63" s="102"/>
      <c r="AV63" s="102"/>
      <c r="AW63" s="102"/>
      <c r="AX63" s="102"/>
      <c r="AY63" s="130"/>
      <c r="AZ63" s="130"/>
      <c r="BA63" s="130"/>
      <c r="BB63" s="130"/>
      <c r="BC63" s="130"/>
      <c r="BD63" s="130"/>
      <c r="BE63" s="130"/>
      <c r="BF63" s="130"/>
      <c r="BG63" s="130"/>
      <c r="BH63" s="130"/>
      <c r="BI63" s="130"/>
      <c r="BJ63" s="130"/>
      <c r="BK63" s="130"/>
      <c r="BL63" s="130"/>
      <c r="BM63" s="130"/>
      <c r="BN63" s="130"/>
      <c r="BO63" s="130"/>
    </row>
    <row r="64" spans="1:67" ht="15" customHeight="1" x14ac:dyDescent="0.25">
      <c r="A64" s="99"/>
      <c r="B64" s="99"/>
      <c r="C64" s="99"/>
      <c r="D64" s="99"/>
      <c r="E64" s="99"/>
      <c r="F64" s="99"/>
      <c r="G64" s="99"/>
      <c r="H64" s="99"/>
      <c r="I64" s="99"/>
      <c r="J64" s="99"/>
      <c r="K64" s="99"/>
      <c r="L64" s="99"/>
      <c r="M64" s="99"/>
      <c r="N64" s="99"/>
      <c r="O64" s="99"/>
      <c r="P64" s="99"/>
      <c r="Q64" s="99"/>
      <c r="R64" s="99"/>
      <c r="S64" s="99"/>
      <c r="T64" s="99"/>
      <c r="U64" s="99"/>
      <c r="V64" s="99"/>
      <c r="W64" s="99"/>
      <c r="X64" s="99"/>
      <c r="Y64" s="99"/>
      <c r="Z64" s="99"/>
      <c r="AA64" s="99"/>
      <c r="AB64" s="99"/>
      <c r="AC64" s="99"/>
      <c r="AD64" s="99"/>
      <c r="AE64" s="99"/>
      <c r="AF64" s="99"/>
      <c r="AG64" s="99"/>
      <c r="AH64" s="99"/>
      <c r="AI64" s="99"/>
      <c r="AJ64" s="99"/>
      <c r="AK64" s="99"/>
      <c r="AL64" s="99"/>
      <c r="AM64" s="99"/>
      <c r="AN64" s="99"/>
      <c r="AO64" s="99"/>
      <c r="AP64" s="99"/>
      <c r="AQ64" s="99"/>
      <c r="AR64" s="99"/>
      <c r="AS64" s="99"/>
      <c r="AT64" s="99"/>
      <c r="AU64" s="99"/>
      <c r="AV64" s="99"/>
      <c r="AW64" s="99"/>
      <c r="AX64" s="99"/>
      <c r="AY64" s="99"/>
      <c r="AZ64" s="99"/>
      <c r="BA64" s="99"/>
      <c r="BB64" s="99"/>
      <c r="BC64" s="99"/>
      <c r="BD64" s="99"/>
      <c r="BE64" s="99"/>
      <c r="BF64" s="99"/>
      <c r="BG64" s="99"/>
      <c r="BH64" s="99"/>
      <c r="BI64" s="99"/>
      <c r="BJ64" s="99"/>
      <c r="BK64" s="99"/>
      <c r="BL64" s="99"/>
      <c r="BM64" s="99"/>
      <c r="BN64" s="99"/>
      <c r="BO64" s="99"/>
    </row>
    <row r="65" spans="1:67" ht="15" customHeight="1" x14ac:dyDescent="0.25">
      <c r="A65" s="99"/>
      <c r="B65" s="99"/>
      <c r="C65" s="99"/>
      <c r="D65" s="99"/>
      <c r="E65" s="99"/>
      <c r="F65" s="99"/>
      <c r="G65" s="99"/>
      <c r="H65" s="99"/>
      <c r="I65" s="99"/>
      <c r="J65" s="99"/>
      <c r="K65" s="99"/>
      <c r="L65" s="99"/>
      <c r="M65" s="99"/>
      <c r="N65" s="99"/>
      <c r="O65" s="99"/>
      <c r="P65" s="99"/>
      <c r="Q65" s="99"/>
      <c r="R65" s="99"/>
      <c r="S65" s="99"/>
      <c r="T65" s="99"/>
      <c r="U65" s="99"/>
      <c r="V65" s="99"/>
      <c r="W65" s="99"/>
      <c r="X65" s="99"/>
      <c r="Y65" s="99"/>
      <c r="Z65" s="99"/>
      <c r="AA65" s="99"/>
      <c r="AB65" s="99"/>
      <c r="AC65" s="99"/>
      <c r="AD65" s="99"/>
      <c r="AE65" s="99"/>
      <c r="AF65" s="99"/>
      <c r="AG65" s="99"/>
      <c r="AH65" s="99"/>
      <c r="AI65" s="99"/>
      <c r="AJ65" s="99"/>
      <c r="AK65" s="99"/>
      <c r="AL65" s="99"/>
      <c r="AM65" s="99"/>
      <c r="AN65" s="99"/>
      <c r="AO65" s="99"/>
      <c r="AP65" s="99"/>
      <c r="AQ65" s="99"/>
      <c r="AR65" s="99"/>
      <c r="AS65" s="99"/>
      <c r="AT65" s="99"/>
      <c r="AU65" s="99"/>
      <c r="AV65" s="99"/>
      <c r="AW65" s="99"/>
      <c r="AX65" s="99"/>
      <c r="AY65" s="99"/>
      <c r="AZ65" s="99"/>
      <c r="BA65" s="99"/>
      <c r="BB65" s="99"/>
      <c r="BC65" s="99"/>
      <c r="BD65" s="99"/>
      <c r="BE65" s="99"/>
      <c r="BF65" s="99"/>
      <c r="BG65" s="99"/>
      <c r="BH65" s="99"/>
      <c r="BI65" s="99"/>
      <c r="BJ65" s="99"/>
      <c r="BK65" s="99"/>
      <c r="BL65" s="99"/>
      <c r="BM65" s="99"/>
      <c r="BN65" s="99"/>
      <c r="BO65" s="99"/>
    </row>
    <row r="66" spans="1:67" x14ac:dyDescent="0.25">
      <c r="A66" s="45" t="s">
        <v>35</v>
      </c>
      <c r="B66" s="45"/>
      <c r="C66" s="45"/>
      <c r="D66" s="45"/>
      <c r="E66" s="72"/>
      <c r="F66" s="73"/>
      <c r="G66" s="73"/>
      <c r="H66" s="73"/>
      <c r="I66" s="73"/>
      <c r="J66" s="73"/>
      <c r="K66" s="73"/>
      <c r="L66" s="73"/>
      <c r="M66" s="73"/>
      <c r="N66" s="73"/>
      <c r="O66" s="73"/>
      <c r="P66" s="73"/>
      <c r="Q66" s="73"/>
      <c r="R66" s="73"/>
      <c r="S66" s="73"/>
      <c r="T66" s="73"/>
      <c r="U66" s="73"/>
      <c r="V66" s="73"/>
      <c r="W66" s="73"/>
      <c r="X66" s="73"/>
      <c r="Y66" s="73"/>
      <c r="Z66" s="73"/>
      <c r="AA66" s="73"/>
      <c r="AB66" s="70" t="s">
        <v>44</v>
      </c>
      <c r="AC66" s="70"/>
      <c r="AD66" s="70"/>
      <c r="AE66" s="70"/>
      <c r="AF66" s="73"/>
      <c r="AG66" s="73"/>
      <c r="AH66" s="73"/>
      <c r="AI66" s="73"/>
      <c r="AJ66" s="73"/>
      <c r="AK66" s="73"/>
      <c r="AL66" s="73"/>
      <c r="AM66" s="45" t="s">
        <v>36</v>
      </c>
      <c r="AN66" s="45"/>
      <c r="AO66" s="45"/>
      <c r="AP66" s="45"/>
      <c r="AQ66" s="45"/>
      <c r="AR66" s="45"/>
      <c r="AS66" s="73"/>
      <c r="AT66" s="73"/>
      <c r="AU66" s="73"/>
      <c r="AV66" s="73"/>
      <c r="AW66" s="73"/>
      <c r="AX66" s="73"/>
      <c r="AY66" s="45" t="s">
        <v>3</v>
      </c>
      <c r="AZ66" s="45"/>
      <c r="BA66" s="72"/>
      <c r="BB66" s="73"/>
      <c r="BC66" s="73"/>
      <c r="BD66" s="73"/>
      <c r="BE66" s="73"/>
      <c r="BF66" s="73"/>
      <c r="BG66" s="73"/>
      <c r="BH66" s="70" t="s">
        <v>4</v>
      </c>
      <c r="BI66" s="70"/>
      <c r="BJ66" s="70"/>
      <c r="BK66" s="73"/>
      <c r="BL66" s="73"/>
      <c r="BM66" s="73"/>
      <c r="BN66" s="73"/>
      <c r="BO66" s="73"/>
    </row>
    <row r="67" spans="1:67" ht="3" customHeight="1" x14ac:dyDescent="0.25">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row>
    <row r="68" spans="1:67" x14ac:dyDescent="0.25">
      <c r="A68" s="45" t="s">
        <v>38</v>
      </c>
      <c r="B68" s="45"/>
      <c r="C68" s="45"/>
      <c r="D68" s="45"/>
      <c r="E68" s="45"/>
      <c r="F68" s="45"/>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0" t="s">
        <v>5</v>
      </c>
      <c r="AO68" s="70"/>
      <c r="AP68" s="70"/>
      <c r="AQ68" s="70"/>
      <c r="AR68" s="70"/>
      <c r="AS68" s="73"/>
      <c r="AT68" s="73"/>
      <c r="AU68" s="73"/>
      <c r="AV68" s="73"/>
      <c r="AW68" s="73"/>
      <c r="AX68" s="73"/>
      <c r="AY68" s="73"/>
      <c r="AZ68" s="73"/>
      <c r="BA68" s="73"/>
      <c r="BB68" s="73"/>
      <c r="BC68" s="73"/>
      <c r="BD68" s="73"/>
      <c r="BE68" s="73"/>
      <c r="BF68" s="73"/>
      <c r="BG68" s="73"/>
      <c r="BH68" s="73"/>
      <c r="BI68" s="73"/>
      <c r="BJ68" s="73"/>
      <c r="BK68" s="73"/>
      <c r="BL68" s="73"/>
      <c r="BM68" s="73"/>
      <c r="BN68" s="73"/>
      <c r="BO68" s="73"/>
    </row>
    <row r="69" spans="1:67" ht="3" customHeight="1" thickBot="1" x14ac:dyDescent="0.3">
      <c r="A69" s="100"/>
      <c r="B69" s="100"/>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c r="AA69" s="100"/>
      <c r="AB69" s="100"/>
      <c r="AC69" s="100"/>
      <c r="AD69" s="100"/>
      <c r="AE69" s="100"/>
      <c r="AF69" s="100"/>
      <c r="AG69" s="100"/>
      <c r="AH69" s="100"/>
      <c r="AI69" s="100"/>
      <c r="AJ69" s="100"/>
      <c r="AK69" s="100"/>
      <c r="AL69" s="100"/>
      <c r="AM69" s="100"/>
      <c r="AN69" s="100"/>
      <c r="AO69" s="100"/>
      <c r="AP69" s="100"/>
      <c r="AQ69" s="100"/>
      <c r="AR69" s="100"/>
      <c r="AS69" s="100"/>
      <c r="AT69" s="100"/>
      <c r="AU69" s="100"/>
      <c r="AV69" s="100"/>
      <c r="AW69" s="100"/>
      <c r="AX69" s="100"/>
      <c r="AY69" s="100"/>
      <c r="AZ69" s="100"/>
      <c r="BA69" s="100"/>
      <c r="BB69" s="100"/>
      <c r="BC69" s="100"/>
      <c r="BD69" s="100"/>
      <c r="BE69" s="100"/>
      <c r="BF69" s="100"/>
      <c r="BG69" s="100"/>
      <c r="BH69" s="100"/>
      <c r="BI69" s="100"/>
      <c r="BJ69" s="100"/>
      <c r="BK69" s="100"/>
      <c r="BL69" s="100"/>
      <c r="BM69" s="100"/>
      <c r="BN69" s="100"/>
      <c r="BO69" s="100"/>
    </row>
    <row r="70" spans="1:67" ht="12" customHeight="1" x14ac:dyDescent="0.25">
      <c r="A70" s="55" t="s">
        <v>69</v>
      </c>
      <c r="B70" s="56"/>
      <c r="C70" s="56"/>
      <c r="D70" s="56"/>
      <c r="E70" s="56"/>
      <c r="F70" s="56"/>
      <c r="G70" s="56"/>
      <c r="H70" s="57"/>
      <c r="I70" s="64" t="s">
        <v>97</v>
      </c>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6"/>
      <c r="AT70" s="127" t="s">
        <v>1</v>
      </c>
      <c r="AU70" s="127"/>
      <c r="AV70" s="127"/>
      <c r="AW70" s="127"/>
      <c r="AX70" s="127"/>
      <c r="AY70" s="127"/>
      <c r="AZ70" s="127"/>
      <c r="BA70" s="127"/>
      <c r="BB70" s="127"/>
      <c r="BC70" s="127"/>
      <c r="BD70" s="88" t="s">
        <v>39</v>
      </c>
      <c r="BE70" s="88"/>
      <c r="BF70" s="88"/>
      <c r="BG70" s="88"/>
      <c r="BH70" s="88"/>
      <c r="BI70" s="88" t="s">
        <v>2</v>
      </c>
      <c r="BJ70" s="88"/>
      <c r="BK70" s="88"/>
      <c r="BL70" s="88"/>
      <c r="BM70" s="88"/>
      <c r="BN70" s="88"/>
      <c r="BO70" s="122"/>
    </row>
    <row r="71" spans="1:67" ht="12" customHeight="1" x14ac:dyDescent="0.25">
      <c r="A71" s="55"/>
      <c r="B71" s="56"/>
      <c r="C71" s="56"/>
      <c r="D71" s="56"/>
      <c r="E71" s="56"/>
      <c r="F71" s="56"/>
      <c r="G71" s="56"/>
      <c r="H71" s="57"/>
      <c r="I71" s="64"/>
      <c r="J71" s="65"/>
      <c r="K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65"/>
      <c r="AO71" s="65"/>
      <c r="AP71" s="65"/>
      <c r="AQ71" s="65"/>
      <c r="AR71" s="65"/>
      <c r="AS71" s="66"/>
      <c r="AT71" s="126"/>
      <c r="AU71" s="126"/>
      <c r="AV71" s="126"/>
      <c r="AW71" s="126"/>
      <c r="AX71" s="126"/>
      <c r="AY71" s="126"/>
      <c r="AZ71" s="126"/>
      <c r="BA71" s="126"/>
      <c r="BB71" s="126"/>
      <c r="BC71" s="126"/>
      <c r="BD71" s="48"/>
      <c r="BE71" s="48"/>
      <c r="BF71" s="48"/>
      <c r="BG71" s="48"/>
      <c r="BH71" s="48"/>
      <c r="BI71" s="48"/>
      <c r="BJ71" s="48"/>
      <c r="BK71" s="48"/>
      <c r="BL71" s="48"/>
      <c r="BM71" s="48"/>
      <c r="BN71" s="48"/>
      <c r="BO71" s="50"/>
    </row>
    <row r="72" spans="1:67" ht="12" customHeight="1" x14ac:dyDescent="0.25">
      <c r="A72" s="55"/>
      <c r="B72" s="56"/>
      <c r="C72" s="56"/>
      <c r="D72" s="56"/>
      <c r="E72" s="56"/>
      <c r="F72" s="56"/>
      <c r="G72" s="56"/>
      <c r="H72" s="57"/>
      <c r="I72" s="64"/>
      <c r="J72" s="65"/>
      <c r="K72" s="65"/>
      <c r="L72" s="65"/>
      <c r="M72" s="65"/>
      <c r="N72" s="65"/>
      <c r="O72" s="65"/>
      <c r="P72" s="65"/>
      <c r="Q72" s="65"/>
      <c r="R72" s="65"/>
      <c r="S72" s="65"/>
      <c r="T72" s="65"/>
      <c r="U72" s="65"/>
      <c r="V72" s="65"/>
      <c r="W72" s="65"/>
      <c r="X72" s="65"/>
      <c r="Y72" s="65"/>
      <c r="Z72" s="65"/>
      <c r="AA72" s="65"/>
      <c r="AB72" s="65"/>
      <c r="AC72" s="65"/>
      <c r="AD72" s="65"/>
      <c r="AE72" s="65"/>
      <c r="AF72" s="65"/>
      <c r="AG72" s="65"/>
      <c r="AH72" s="65"/>
      <c r="AI72" s="65"/>
      <c r="AJ72" s="65"/>
      <c r="AK72" s="65"/>
      <c r="AL72" s="65"/>
      <c r="AM72" s="65"/>
      <c r="AN72" s="65"/>
      <c r="AO72" s="65"/>
      <c r="AP72" s="65"/>
      <c r="AQ72" s="65"/>
      <c r="AR72" s="65"/>
      <c r="AS72" s="66"/>
      <c r="AT72" s="126" t="str">
        <f>IF(BK66="","",IF(BK66="1ST","1ST",IF(BK66="2ND","3RD")))</f>
        <v/>
      </c>
      <c r="AU72" s="126"/>
      <c r="AV72" s="126"/>
      <c r="AW72" s="126"/>
      <c r="AX72" s="126"/>
      <c r="AY72" s="126" t="str">
        <f>IF(BK66="","",IF(BK66="1ST","2ND",IF(BK66="2ND","4TH")))</f>
        <v/>
      </c>
      <c r="AZ72" s="126"/>
      <c r="BA72" s="126"/>
      <c r="BB72" s="126"/>
      <c r="BC72" s="126"/>
      <c r="BD72" s="48"/>
      <c r="BE72" s="48"/>
      <c r="BF72" s="48"/>
      <c r="BG72" s="48"/>
      <c r="BH72" s="48"/>
      <c r="BI72" s="48"/>
      <c r="BJ72" s="48"/>
      <c r="BK72" s="48"/>
      <c r="BL72" s="48"/>
      <c r="BM72" s="48"/>
      <c r="BN72" s="48"/>
      <c r="BO72" s="50"/>
    </row>
    <row r="73" spans="1:67" ht="12" customHeight="1" x14ac:dyDescent="0.25">
      <c r="A73" s="58"/>
      <c r="B73" s="59"/>
      <c r="C73" s="59"/>
      <c r="D73" s="59"/>
      <c r="E73" s="59"/>
      <c r="F73" s="59"/>
      <c r="G73" s="59"/>
      <c r="H73" s="60"/>
      <c r="I73" s="67"/>
      <c r="J73" s="68"/>
      <c r="K73" s="68"/>
      <c r="L73" s="68"/>
      <c r="M73" s="68"/>
      <c r="N73" s="68"/>
      <c r="O73" s="68"/>
      <c r="P73" s="68"/>
      <c r="Q73" s="68"/>
      <c r="R73" s="68"/>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9"/>
      <c r="AT73" s="126"/>
      <c r="AU73" s="126"/>
      <c r="AV73" s="126"/>
      <c r="AW73" s="126"/>
      <c r="AX73" s="126"/>
      <c r="AY73" s="126"/>
      <c r="AZ73" s="126"/>
      <c r="BA73" s="126"/>
      <c r="BB73" s="126"/>
      <c r="BC73" s="126"/>
      <c r="BD73" s="48"/>
      <c r="BE73" s="48"/>
      <c r="BF73" s="48"/>
      <c r="BG73" s="48"/>
      <c r="BH73" s="48"/>
      <c r="BI73" s="48"/>
      <c r="BJ73" s="48"/>
      <c r="BK73" s="48"/>
      <c r="BL73" s="48"/>
      <c r="BM73" s="48"/>
      <c r="BN73" s="48"/>
      <c r="BO73" s="50"/>
    </row>
    <row r="74" spans="1:67" ht="18.95" customHeight="1" x14ac:dyDescent="0.25">
      <c r="A74" s="35"/>
      <c r="B74" s="36"/>
      <c r="C74" s="36"/>
      <c r="D74" s="36"/>
      <c r="E74" s="36"/>
      <c r="F74" s="36"/>
      <c r="G74" s="36"/>
      <c r="H74" s="37"/>
      <c r="I74" s="41"/>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3"/>
      <c r="AT74" s="38"/>
      <c r="AU74" s="38"/>
      <c r="AV74" s="38"/>
      <c r="AW74" s="38"/>
      <c r="AX74" s="38"/>
      <c r="AY74" s="38"/>
      <c r="AZ74" s="38"/>
      <c r="BA74" s="38"/>
      <c r="BB74" s="38"/>
      <c r="BC74" s="38"/>
      <c r="BD74" s="39" t="str">
        <f t="shared" ref="BD74" si="4">IF(OR(AT74="",AY74=""),"",IF(ISERROR(ROUND(AVERAGE(AT74,AY74),0)),"",ROUND(AVERAGE(AT74,AY74),0)))</f>
        <v/>
      </c>
      <c r="BE74" s="39"/>
      <c r="BF74" s="39"/>
      <c r="BG74" s="39"/>
      <c r="BH74" s="39"/>
      <c r="BI74" s="39" t="str">
        <f t="shared" ref="BI74" si="5">IF(OR(AT74="",AY74="",BD74=""),"",IF(BD74&gt;=75,"PASSED","FAILED"))</f>
        <v/>
      </c>
      <c r="BJ74" s="39"/>
      <c r="BK74" s="39"/>
      <c r="BL74" s="39"/>
      <c r="BM74" s="39"/>
      <c r="BN74" s="39"/>
      <c r="BO74" s="40"/>
    </row>
    <row r="75" spans="1:67" ht="18.95" customHeight="1" x14ac:dyDescent="0.25">
      <c r="A75" s="35"/>
      <c r="B75" s="36"/>
      <c r="C75" s="36"/>
      <c r="D75" s="36"/>
      <c r="E75" s="36"/>
      <c r="F75" s="36"/>
      <c r="G75" s="36"/>
      <c r="H75" s="37"/>
      <c r="I75" s="41"/>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3"/>
      <c r="AT75" s="38"/>
      <c r="AU75" s="38"/>
      <c r="AV75" s="38"/>
      <c r="AW75" s="38"/>
      <c r="AX75" s="38"/>
      <c r="AY75" s="38"/>
      <c r="AZ75" s="38"/>
      <c r="BA75" s="38"/>
      <c r="BB75" s="38"/>
      <c r="BC75" s="38"/>
      <c r="BD75" s="80" t="str">
        <f t="shared" ref="BD75:BD85" si="6">IF(OR(AT75="",AY75=""),"",IF(ISERROR(ROUND(AVERAGE(AT75,AY75),0)),"",ROUND(AVERAGE(AT75,AY75),0)))</f>
        <v/>
      </c>
      <c r="BE75" s="81"/>
      <c r="BF75" s="81"/>
      <c r="BG75" s="81"/>
      <c r="BH75" s="82"/>
      <c r="BI75" s="39" t="str">
        <f t="shared" ref="BI75:BI85" si="7">IF(OR(AT75="",AY75="",BD75=""),"",IF(BD75&gt;=75,"PASSED","FAILED"))</f>
        <v/>
      </c>
      <c r="BJ75" s="39"/>
      <c r="BK75" s="39"/>
      <c r="BL75" s="39"/>
      <c r="BM75" s="39"/>
      <c r="BN75" s="39"/>
      <c r="BO75" s="40"/>
    </row>
    <row r="76" spans="1:67" ht="18.95" customHeight="1" x14ac:dyDescent="0.25">
      <c r="A76" s="35"/>
      <c r="B76" s="36"/>
      <c r="C76" s="36"/>
      <c r="D76" s="36"/>
      <c r="E76" s="36"/>
      <c r="F76" s="36"/>
      <c r="G76" s="36"/>
      <c r="H76" s="37"/>
      <c r="I76" s="41"/>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3"/>
      <c r="AT76" s="38"/>
      <c r="AU76" s="38"/>
      <c r="AV76" s="38"/>
      <c r="AW76" s="38"/>
      <c r="AX76" s="38"/>
      <c r="AY76" s="38"/>
      <c r="AZ76" s="38"/>
      <c r="BA76" s="38"/>
      <c r="BB76" s="38"/>
      <c r="BC76" s="38"/>
      <c r="BD76" s="80" t="str">
        <f t="shared" si="6"/>
        <v/>
      </c>
      <c r="BE76" s="81"/>
      <c r="BF76" s="81"/>
      <c r="BG76" s="81"/>
      <c r="BH76" s="82"/>
      <c r="BI76" s="39" t="str">
        <f t="shared" si="7"/>
        <v/>
      </c>
      <c r="BJ76" s="39"/>
      <c r="BK76" s="39"/>
      <c r="BL76" s="39"/>
      <c r="BM76" s="39"/>
      <c r="BN76" s="39"/>
      <c r="BO76" s="40"/>
    </row>
    <row r="77" spans="1:67" ht="18.95" customHeight="1" x14ac:dyDescent="0.25">
      <c r="A77" s="35"/>
      <c r="B77" s="36"/>
      <c r="C77" s="36"/>
      <c r="D77" s="36"/>
      <c r="E77" s="36"/>
      <c r="F77" s="36"/>
      <c r="G77" s="36"/>
      <c r="H77" s="37"/>
      <c r="I77" s="41"/>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3"/>
      <c r="AT77" s="38"/>
      <c r="AU77" s="38"/>
      <c r="AV77" s="38"/>
      <c r="AW77" s="38"/>
      <c r="AX77" s="38"/>
      <c r="AY77" s="38"/>
      <c r="AZ77" s="38"/>
      <c r="BA77" s="38"/>
      <c r="BB77" s="38"/>
      <c r="BC77" s="38"/>
      <c r="BD77" s="80" t="str">
        <f t="shared" si="6"/>
        <v/>
      </c>
      <c r="BE77" s="81"/>
      <c r="BF77" s="81"/>
      <c r="BG77" s="81"/>
      <c r="BH77" s="82"/>
      <c r="BI77" s="39" t="str">
        <f t="shared" si="7"/>
        <v/>
      </c>
      <c r="BJ77" s="39"/>
      <c r="BK77" s="39"/>
      <c r="BL77" s="39"/>
      <c r="BM77" s="39"/>
      <c r="BN77" s="39"/>
      <c r="BO77" s="40"/>
    </row>
    <row r="78" spans="1:67" ht="18.95" customHeight="1" x14ac:dyDescent="0.25">
      <c r="A78" s="35"/>
      <c r="B78" s="36"/>
      <c r="C78" s="36"/>
      <c r="D78" s="36"/>
      <c r="E78" s="36"/>
      <c r="F78" s="36"/>
      <c r="G78" s="36"/>
      <c r="H78" s="37"/>
      <c r="I78" s="41"/>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3"/>
      <c r="AT78" s="38"/>
      <c r="AU78" s="38"/>
      <c r="AV78" s="38"/>
      <c r="AW78" s="38"/>
      <c r="AX78" s="38"/>
      <c r="AY78" s="38"/>
      <c r="AZ78" s="38"/>
      <c r="BA78" s="38"/>
      <c r="BB78" s="38"/>
      <c r="BC78" s="38"/>
      <c r="BD78" s="80" t="str">
        <f t="shared" si="6"/>
        <v/>
      </c>
      <c r="BE78" s="81"/>
      <c r="BF78" s="81"/>
      <c r="BG78" s="81"/>
      <c r="BH78" s="82"/>
      <c r="BI78" s="39" t="str">
        <f t="shared" si="7"/>
        <v/>
      </c>
      <c r="BJ78" s="39"/>
      <c r="BK78" s="39"/>
      <c r="BL78" s="39"/>
      <c r="BM78" s="39"/>
      <c r="BN78" s="39"/>
      <c r="BO78" s="40"/>
    </row>
    <row r="79" spans="1:67" ht="20.100000000000001" customHeight="1" x14ac:dyDescent="0.25">
      <c r="A79" s="35"/>
      <c r="B79" s="36"/>
      <c r="C79" s="36"/>
      <c r="D79" s="36"/>
      <c r="E79" s="36"/>
      <c r="F79" s="36"/>
      <c r="G79" s="36"/>
      <c r="H79" s="37"/>
      <c r="I79" s="41"/>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3"/>
      <c r="AT79" s="90"/>
      <c r="AU79" s="90"/>
      <c r="AV79" s="90"/>
      <c r="AW79" s="90"/>
      <c r="AX79" s="90"/>
      <c r="AY79" s="90"/>
      <c r="AZ79" s="90"/>
      <c r="BA79" s="90"/>
      <c r="BB79" s="90"/>
      <c r="BC79" s="90"/>
      <c r="BD79" s="80" t="str">
        <f t="shared" si="6"/>
        <v/>
      </c>
      <c r="BE79" s="81"/>
      <c r="BF79" s="81"/>
      <c r="BG79" s="81"/>
      <c r="BH79" s="82"/>
      <c r="BI79" s="39" t="str">
        <f t="shared" si="7"/>
        <v/>
      </c>
      <c r="BJ79" s="39"/>
      <c r="BK79" s="39"/>
      <c r="BL79" s="39"/>
      <c r="BM79" s="39"/>
      <c r="BN79" s="39"/>
      <c r="BO79" s="40"/>
    </row>
    <row r="80" spans="1:67" ht="20.100000000000001" customHeight="1" x14ac:dyDescent="0.25">
      <c r="A80" s="35"/>
      <c r="B80" s="36"/>
      <c r="C80" s="36"/>
      <c r="D80" s="36"/>
      <c r="E80" s="36"/>
      <c r="F80" s="36"/>
      <c r="G80" s="36"/>
      <c r="H80" s="37"/>
      <c r="I80" s="41"/>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3"/>
      <c r="AT80" s="89"/>
      <c r="AU80" s="36"/>
      <c r="AV80" s="36"/>
      <c r="AW80" s="36"/>
      <c r="AX80" s="37"/>
      <c r="AY80" s="89"/>
      <c r="AZ80" s="36"/>
      <c r="BA80" s="36"/>
      <c r="BB80" s="36"/>
      <c r="BC80" s="37"/>
      <c r="BD80" s="80" t="str">
        <f t="shared" si="6"/>
        <v/>
      </c>
      <c r="BE80" s="81"/>
      <c r="BF80" s="81"/>
      <c r="BG80" s="81"/>
      <c r="BH80" s="82"/>
      <c r="BI80" s="39" t="str">
        <f t="shared" si="7"/>
        <v/>
      </c>
      <c r="BJ80" s="39"/>
      <c r="BK80" s="39"/>
      <c r="BL80" s="39"/>
      <c r="BM80" s="39"/>
      <c r="BN80" s="39"/>
      <c r="BO80" s="40"/>
    </row>
    <row r="81" spans="1:67" ht="20.100000000000001" customHeight="1" x14ac:dyDescent="0.25">
      <c r="A81" s="35"/>
      <c r="B81" s="36"/>
      <c r="C81" s="36"/>
      <c r="D81" s="36"/>
      <c r="E81" s="36"/>
      <c r="F81" s="36"/>
      <c r="G81" s="36"/>
      <c r="H81" s="37"/>
      <c r="I81" s="41"/>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3"/>
      <c r="AT81" s="89"/>
      <c r="AU81" s="36"/>
      <c r="AV81" s="36"/>
      <c r="AW81" s="36"/>
      <c r="AX81" s="37"/>
      <c r="AY81" s="89"/>
      <c r="AZ81" s="36"/>
      <c r="BA81" s="36"/>
      <c r="BB81" s="36"/>
      <c r="BC81" s="37"/>
      <c r="BD81" s="80" t="str">
        <f t="shared" si="6"/>
        <v/>
      </c>
      <c r="BE81" s="81"/>
      <c r="BF81" s="81"/>
      <c r="BG81" s="81"/>
      <c r="BH81" s="82"/>
      <c r="BI81" s="39" t="str">
        <f t="shared" si="7"/>
        <v/>
      </c>
      <c r="BJ81" s="39"/>
      <c r="BK81" s="39"/>
      <c r="BL81" s="39"/>
      <c r="BM81" s="39"/>
      <c r="BN81" s="39"/>
      <c r="BO81" s="40"/>
    </row>
    <row r="82" spans="1:67" ht="20.100000000000001" customHeight="1" x14ac:dyDescent="0.25">
      <c r="A82" s="35"/>
      <c r="B82" s="36"/>
      <c r="C82" s="36"/>
      <c r="D82" s="36"/>
      <c r="E82" s="36"/>
      <c r="F82" s="36"/>
      <c r="G82" s="36"/>
      <c r="H82" s="37"/>
      <c r="I82" s="41"/>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3"/>
      <c r="AT82" s="89"/>
      <c r="AU82" s="36"/>
      <c r="AV82" s="36"/>
      <c r="AW82" s="36"/>
      <c r="AX82" s="37"/>
      <c r="AY82" s="89"/>
      <c r="AZ82" s="36"/>
      <c r="BA82" s="36"/>
      <c r="BB82" s="36"/>
      <c r="BC82" s="37"/>
      <c r="BD82" s="80" t="str">
        <f t="shared" si="6"/>
        <v/>
      </c>
      <c r="BE82" s="81"/>
      <c r="BF82" s="81"/>
      <c r="BG82" s="81"/>
      <c r="BH82" s="82"/>
      <c r="BI82" s="39" t="str">
        <f t="shared" si="7"/>
        <v/>
      </c>
      <c r="BJ82" s="39"/>
      <c r="BK82" s="39"/>
      <c r="BL82" s="39"/>
      <c r="BM82" s="39"/>
      <c r="BN82" s="39"/>
      <c r="BO82" s="40"/>
    </row>
    <row r="83" spans="1:67" ht="20.100000000000001" customHeight="1" x14ac:dyDescent="0.25">
      <c r="A83" s="35"/>
      <c r="B83" s="36"/>
      <c r="C83" s="36"/>
      <c r="D83" s="36"/>
      <c r="E83" s="36"/>
      <c r="F83" s="36"/>
      <c r="G83" s="36"/>
      <c r="H83" s="37"/>
      <c r="I83" s="41"/>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3"/>
      <c r="AT83" s="89"/>
      <c r="AU83" s="36"/>
      <c r="AV83" s="36"/>
      <c r="AW83" s="36"/>
      <c r="AX83" s="37"/>
      <c r="AY83" s="89"/>
      <c r="AZ83" s="36"/>
      <c r="BA83" s="36"/>
      <c r="BB83" s="36"/>
      <c r="BC83" s="37"/>
      <c r="BD83" s="80" t="str">
        <f t="shared" si="6"/>
        <v/>
      </c>
      <c r="BE83" s="81"/>
      <c r="BF83" s="81"/>
      <c r="BG83" s="81"/>
      <c r="BH83" s="82"/>
      <c r="BI83" s="39" t="str">
        <f t="shared" si="7"/>
        <v/>
      </c>
      <c r="BJ83" s="39"/>
      <c r="BK83" s="39"/>
      <c r="BL83" s="39"/>
      <c r="BM83" s="39"/>
      <c r="BN83" s="39"/>
      <c r="BO83" s="40"/>
    </row>
    <row r="84" spans="1:67" ht="20.100000000000001" customHeight="1" x14ac:dyDescent="0.25">
      <c r="A84" s="35"/>
      <c r="B84" s="36"/>
      <c r="C84" s="36"/>
      <c r="D84" s="36"/>
      <c r="E84" s="36"/>
      <c r="F84" s="36"/>
      <c r="G84" s="36"/>
      <c r="H84" s="37"/>
      <c r="I84" s="41"/>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3"/>
      <c r="AT84" s="95"/>
      <c r="AU84" s="95"/>
      <c r="AV84" s="95"/>
      <c r="AW84" s="95"/>
      <c r="AX84" s="95"/>
      <c r="AY84" s="95"/>
      <c r="AZ84" s="95"/>
      <c r="BA84" s="95"/>
      <c r="BB84" s="95"/>
      <c r="BC84" s="95"/>
      <c r="BD84" s="80" t="str">
        <f t="shared" si="6"/>
        <v/>
      </c>
      <c r="BE84" s="81"/>
      <c r="BF84" s="81"/>
      <c r="BG84" s="81"/>
      <c r="BH84" s="82"/>
      <c r="BI84" s="39" t="str">
        <f t="shared" si="7"/>
        <v/>
      </c>
      <c r="BJ84" s="39"/>
      <c r="BK84" s="39"/>
      <c r="BL84" s="39"/>
      <c r="BM84" s="39"/>
      <c r="BN84" s="39"/>
      <c r="BO84" s="40"/>
    </row>
    <row r="85" spans="1:67" ht="20.100000000000001" customHeight="1" x14ac:dyDescent="0.25">
      <c r="A85" s="35"/>
      <c r="B85" s="36"/>
      <c r="C85" s="36"/>
      <c r="D85" s="36"/>
      <c r="E85" s="36"/>
      <c r="F85" s="36"/>
      <c r="G85" s="36"/>
      <c r="H85" s="37"/>
      <c r="I85" s="41"/>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3"/>
      <c r="AT85" s="38"/>
      <c r="AU85" s="38"/>
      <c r="AV85" s="38"/>
      <c r="AW85" s="38"/>
      <c r="AX85" s="38"/>
      <c r="AY85" s="38"/>
      <c r="AZ85" s="38"/>
      <c r="BA85" s="38"/>
      <c r="BB85" s="38"/>
      <c r="BC85" s="38"/>
      <c r="BD85" s="80" t="str">
        <f t="shared" si="6"/>
        <v/>
      </c>
      <c r="BE85" s="81"/>
      <c r="BF85" s="81"/>
      <c r="BG85" s="81"/>
      <c r="BH85" s="82"/>
      <c r="BI85" s="39" t="str">
        <f t="shared" si="7"/>
        <v/>
      </c>
      <c r="BJ85" s="39"/>
      <c r="BK85" s="39"/>
      <c r="BL85" s="39"/>
      <c r="BM85" s="39"/>
      <c r="BN85" s="39"/>
      <c r="BO85" s="40"/>
    </row>
    <row r="86" spans="1:67" ht="20.100000000000001" customHeight="1" thickBot="1" x14ac:dyDescent="0.3">
      <c r="A86" s="74" t="s">
        <v>40</v>
      </c>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c r="AK86" s="75"/>
      <c r="AL86" s="75"/>
      <c r="AM86" s="75"/>
      <c r="AN86" s="75"/>
      <c r="AO86" s="75"/>
      <c r="AP86" s="75"/>
      <c r="AQ86" s="75"/>
      <c r="AR86" s="75"/>
      <c r="AS86" s="75"/>
      <c r="AT86" s="75"/>
      <c r="AU86" s="75"/>
      <c r="AV86" s="75"/>
      <c r="AW86" s="75"/>
      <c r="AX86" s="75"/>
      <c r="AY86" s="75"/>
      <c r="AZ86" s="75"/>
      <c r="BA86" s="75"/>
      <c r="BB86" s="75"/>
      <c r="BC86" s="76"/>
      <c r="BD86" s="84" t="str">
        <f>IFERROR(ROUND((SUM(BD74:BD85,BD101:BD104)-SUM(AT101:AT104))/(COUNTA(BD74:BD85)-COUNTBLANK(BD74:BD85)),0),"")</f>
        <v/>
      </c>
      <c r="BE86" s="85"/>
      <c r="BF86" s="85"/>
      <c r="BG86" s="85"/>
      <c r="BH86" s="86"/>
      <c r="BI86" s="84" t="str">
        <f>IF(BD86="","",IF(BD86&gt;=75,"PASSED","FAILED"))</f>
        <v/>
      </c>
      <c r="BJ86" s="85"/>
      <c r="BK86" s="85"/>
      <c r="BL86" s="85"/>
      <c r="BM86" s="85"/>
      <c r="BN86" s="85"/>
      <c r="BO86" s="87"/>
    </row>
    <row r="87" spans="1:67" ht="3" customHeight="1" x14ac:dyDescent="0.25">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row>
    <row r="88" spans="1:67" ht="15.95" customHeight="1" x14ac:dyDescent="0.25">
      <c r="A88" s="46" t="s">
        <v>41</v>
      </c>
      <c r="B88" s="46"/>
      <c r="C88" s="46"/>
      <c r="D88" s="46"/>
      <c r="E88" s="46"/>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row>
    <row r="89" spans="1:67" ht="3" customHeight="1" x14ac:dyDescent="0.25">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row>
    <row r="90" spans="1:67" ht="15.95" customHeight="1" x14ac:dyDescent="0.25">
      <c r="A90" s="46" t="s">
        <v>76</v>
      </c>
      <c r="B90" s="46"/>
      <c r="C90" s="46"/>
      <c r="D90" s="46"/>
      <c r="E90" s="46"/>
      <c r="V90" s="46" t="s">
        <v>78</v>
      </c>
      <c r="W90" s="46"/>
      <c r="X90" s="46"/>
      <c r="Y90" s="46"/>
      <c r="Z90" s="46"/>
      <c r="AA90" s="46"/>
      <c r="AB90" s="46"/>
      <c r="AC90" s="46"/>
      <c r="AD90" s="46"/>
      <c r="AE90" s="46"/>
      <c r="AF90" s="8"/>
      <c r="AG90" s="91"/>
      <c r="AH90" s="91"/>
      <c r="AI90" s="91"/>
      <c r="AJ90" s="91"/>
      <c r="AK90" s="91"/>
      <c r="AL90" s="91"/>
      <c r="AM90" s="91"/>
      <c r="AN90" s="91"/>
      <c r="AO90" s="91"/>
      <c r="AP90" s="91"/>
      <c r="AQ90" s="91"/>
      <c r="AR90" s="91"/>
      <c r="AS90" s="91"/>
      <c r="AT90" s="91"/>
      <c r="AV90" s="8"/>
      <c r="AW90" s="8"/>
      <c r="AX90" s="8"/>
      <c r="AY90" s="8"/>
      <c r="AZ90" s="8" t="s">
        <v>79</v>
      </c>
      <c r="BA90" s="8"/>
      <c r="BB90" s="8"/>
      <c r="BC90" s="8"/>
      <c r="BD90" s="8"/>
      <c r="BE90" s="8"/>
      <c r="BF90" s="8"/>
    </row>
    <row r="91" spans="1:67" ht="15.95" customHeight="1" x14ac:dyDescent="0.25">
      <c r="A91" s="99"/>
      <c r="B91" s="99"/>
      <c r="C91" s="99"/>
      <c r="D91" s="99"/>
      <c r="E91" s="99"/>
      <c r="F91" s="99"/>
      <c r="G91" s="99"/>
      <c r="H91" s="99"/>
      <c r="I91" s="99"/>
      <c r="J91" s="99"/>
      <c r="K91" s="99"/>
      <c r="L91" s="99"/>
      <c r="M91" s="99"/>
      <c r="N91" s="99"/>
      <c r="O91" s="99"/>
      <c r="P91" s="99"/>
      <c r="Q91" s="99"/>
      <c r="R91" s="7"/>
      <c r="S91" s="7"/>
      <c r="T91" s="7"/>
      <c r="U91" s="7"/>
      <c r="V91" s="7"/>
      <c r="W91" s="7"/>
      <c r="X91" s="7"/>
      <c r="Y91" s="91"/>
      <c r="Z91" s="91"/>
      <c r="AA91" s="91"/>
      <c r="AB91" s="91"/>
      <c r="AC91" s="91"/>
      <c r="AD91" s="91"/>
      <c r="AE91" s="91"/>
      <c r="AF91" s="91"/>
      <c r="AG91" s="91"/>
      <c r="AH91" s="91"/>
      <c r="AI91" s="91"/>
      <c r="AJ91" s="91"/>
      <c r="AK91" s="91"/>
      <c r="AL91" s="91"/>
      <c r="AM91" s="91"/>
      <c r="AN91" s="91"/>
      <c r="AO91" s="91"/>
      <c r="AP91" s="7"/>
      <c r="AQ91" s="7"/>
      <c r="AR91" s="7"/>
      <c r="AS91" s="7"/>
      <c r="AU91" s="99"/>
      <c r="AV91" s="99"/>
      <c r="AW91" s="99"/>
      <c r="AX91" s="99"/>
      <c r="AY91" s="99"/>
      <c r="AZ91" s="99"/>
      <c r="BA91" s="99"/>
      <c r="BB91" s="99"/>
      <c r="BC91" s="99"/>
      <c r="BD91" s="99"/>
    </row>
    <row r="92" spans="1:67" ht="15.95" customHeight="1" x14ac:dyDescent="0.25">
      <c r="A92" s="77"/>
      <c r="B92" s="77"/>
      <c r="C92" s="77"/>
      <c r="D92" s="77"/>
      <c r="E92" s="77"/>
      <c r="F92" s="77"/>
      <c r="G92" s="77"/>
      <c r="H92" s="77"/>
      <c r="I92" s="77"/>
      <c r="J92" s="77"/>
      <c r="K92" s="77"/>
      <c r="L92" s="77"/>
      <c r="M92" s="77"/>
      <c r="N92" s="77"/>
      <c r="O92" s="77"/>
      <c r="P92" s="77"/>
      <c r="Q92" s="77"/>
      <c r="R92" s="77"/>
      <c r="S92" s="77"/>
      <c r="Y92" s="77"/>
      <c r="Z92" s="77"/>
      <c r="AA92" s="77"/>
      <c r="AB92" s="77"/>
      <c r="AC92" s="77"/>
      <c r="AD92" s="77"/>
      <c r="AE92" s="77"/>
      <c r="AF92" s="77"/>
      <c r="AG92" s="77"/>
      <c r="AH92" s="77"/>
      <c r="AI92" s="77"/>
      <c r="AJ92" s="77"/>
      <c r="AK92" s="77"/>
      <c r="AL92" s="77"/>
      <c r="AM92" s="77"/>
      <c r="AN92" s="77"/>
      <c r="AO92" s="77"/>
      <c r="AP92" s="77"/>
      <c r="AQ92" s="77"/>
      <c r="AR92" s="77"/>
      <c r="AS92" s="77"/>
      <c r="AU92" s="27"/>
      <c r="AV92" s="27"/>
      <c r="AW92" s="27"/>
      <c r="AX92" s="27"/>
      <c r="AY92" s="27"/>
      <c r="AZ92" s="78"/>
      <c r="BA92" s="78"/>
      <c r="BB92" s="78"/>
      <c r="BC92" s="78"/>
      <c r="BD92" s="78"/>
      <c r="BE92" s="78"/>
      <c r="BF92" s="78"/>
      <c r="BG92" s="78"/>
      <c r="BH92" s="78"/>
      <c r="BI92" s="78"/>
      <c r="BJ92" s="78"/>
      <c r="BK92" s="78"/>
      <c r="BL92" s="78"/>
      <c r="BM92" s="78"/>
      <c r="BN92" s="78"/>
      <c r="BO92" s="78"/>
    </row>
    <row r="93" spans="1:67" x14ac:dyDescent="0.25">
      <c r="A93" s="79" t="s">
        <v>77</v>
      </c>
      <c r="B93" s="79"/>
      <c r="C93" s="79"/>
      <c r="D93" s="79"/>
      <c r="E93" s="79"/>
      <c r="F93" s="79"/>
      <c r="G93" s="79"/>
      <c r="H93" s="79"/>
      <c r="I93" s="79"/>
      <c r="J93" s="79"/>
      <c r="K93" s="79"/>
      <c r="L93" s="79"/>
      <c r="M93" s="79"/>
      <c r="N93" s="79"/>
      <c r="O93" s="79"/>
      <c r="P93" s="79"/>
      <c r="Q93" s="79"/>
      <c r="R93" s="79"/>
      <c r="S93" s="79"/>
      <c r="T93" s="7"/>
      <c r="U93" s="7"/>
      <c r="Y93" s="79" t="s">
        <v>86</v>
      </c>
      <c r="Z93" s="79"/>
      <c r="AA93" s="79"/>
      <c r="AB93" s="79"/>
      <c r="AC93" s="79"/>
      <c r="AD93" s="79"/>
      <c r="AE93" s="79"/>
      <c r="AF93" s="79"/>
      <c r="AG93" s="79"/>
      <c r="AH93" s="79"/>
      <c r="AI93" s="79"/>
      <c r="AJ93" s="79"/>
      <c r="AK93" s="79"/>
      <c r="AL93" s="79"/>
      <c r="AM93" s="79"/>
      <c r="AN93" s="79"/>
      <c r="AO93" s="79"/>
      <c r="AP93" s="79"/>
      <c r="AQ93" s="79"/>
      <c r="AR93" s="79"/>
      <c r="AS93" s="79"/>
    </row>
    <row r="94" spans="1:67" ht="9" customHeight="1" x14ac:dyDescent="0.25"/>
    <row r="95" spans="1:67" x14ac:dyDescent="0.25">
      <c r="A95" s="8" t="s">
        <v>43</v>
      </c>
      <c r="B95" s="8"/>
      <c r="C95" s="8"/>
      <c r="D95" s="8"/>
      <c r="E95" s="8"/>
      <c r="F95" s="8"/>
      <c r="G95" s="8"/>
      <c r="H95" s="8"/>
      <c r="I95" s="70" t="s">
        <v>101</v>
      </c>
      <c r="J95" s="70"/>
      <c r="K95" s="70"/>
      <c r="L95" s="70"/>
      <c r="M95" s="70"/>
      <c r="N95" s="70"/>
      <c r="O95" s="70"/>
      <c r="P95" s="70"/>
      <c r="Q95" s="70"/>
      <c r="R95" s="70"/>
      <c r="S95" s="128"/>
      <c r="T95" s="128"/>
      <c r="U95" s="128"/>
      <c r="V95" s="128"/>
      <c r="W95" s="70" t="s">
        <v>100</v>
      </c>
      <c r="X95" s="70"/>
      <c r="Y95" s="70"/>
      <c r="Z95" s="70"/>
      <c r="AA95" s="70"/>
      <c r="AB95" s="70"/>
      <c r="AC95" s="128"/>
      <c r="AD95" s="128"/>
      <c r="AE95" s="128"/>
      <c r="AF95" s="128"/>
      <c r="AH95" s="70" t="s">
        <v>35</v>
      </c>
      <c r="AI95" s="70"/>
      <c r="AJ95" s="70"/>
      <c r="AK95" s="70"/>
      <c r="AL95" s="83"/>
      <c r="AM95" s="83"/>
      <c r="AN95" s="83"/>
      <c r="AO95" s="83"/>
      <c r="AP95" s="83"/>
      <c r="AQ95" s="83"/>
      <c r="AR95" s="83"/>
      <c r="AS95" s="83"/>
      <c r="AT95" s="83"/>
      <c r="AU95" s="83"/>
      <c r="AV95" s="83"/>
      <c r="AW95" s="83"/>
      <c r="AX95" s="83"/>
      <c r="AY95" s="83"/>
      <c r="AZ95" s="83"/>
      <c r="BA95" s="83"/>
      <c r="BB95" s="83"/>
      <c r="BC95" s="83"/>
      <c r="BD95" s="83"/>
      <c r="BE95" s="83"/>
      <c r="BF95" s="45" t="s">
        <v>44</v>
      </c>
      <c r="BG95" s="45"/>
      <c r="BH95" s="45"/>
      <c r="BI95" s="45"/>
      <c r="BJ95" s="45"/>
      <c r="BK95" s="129"/>
      <c r="BL95" s="129"/>
      <c r="BM95" s="129"/>
      <c r="BN95" s="129"/>
      <c r="BO95" s="129"/>
    </row>
    <row r="96" spans="1:67" ht="3" customHeight="1" thickBot="1" x14ac:dyDescent="0.3">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row>
    <row r="97" spans="1:67" ht="12" customHeight="1" x14ac:dyDescent="0.25">
      <c r="A97" s="52" t="s">
        <v>69</v>
      </c>
      <c r="B97" s="53"/>
      <c r="C97" s="53"/>
      <c r="D97" s="53"/>
      <c r="E97" s="53"/>
      <c r="F97" s="53"/>
      <c r="G97" s="53"/>
      <c r="H97" s="54"/>
      <c r="I97" s="61" t="s">
        <v>97</v>
      </c>
      <c r="J97" s="62"/>
      <c r="K97" s="62"/>
      <c r="L97" s="62"/>
      <c r="M97" s="62"/>
      <c r="N97" s="62"/>
      <c r="O97" s="62"/>
      <c r="P97" s="62"/>
      <c r="Q97" s="62"/>
      <c r="R97" s="62"/>
      <c r="S97" s="62"/>
      <c r="T97" s="62"/>
      <c r="U97" s="62"/>
      <c r="V97" s="62"/>
      <c r="W97" s="62"/>
      <c r="X97" s="62"/>
      <c r="Y97" s="62"/>
      <c r="Z97" s="62"/>
      <c r="AA97" s="62"/>
      <c r="AB97" s="62"/>
      <c r="AC97" s="62"/>
      <c r="AD97" s="62"/>
      <c r="AE97" s="62"/>
      <c r="AF97" s="62"/>
      <c r="AG97" s="62"/>
      <c r="AH97" s="62"/>
      <c r="AI97" s="62"/>
      <c r="AJ97" s="62"/>
      <c r="AK97" s="62"/>
      <c r="AL97" s="62"/>
      <c r="AM97" s="62"/>
      <c r="AN97" s="62"/>
      <c r="AO97" s="62"/>
      <c r="AP97" s="62"/>
      <c r="AQ97" s="62"/>
      <c r="AR97" s="62"/>
      <c r="AS97" s="63"/>
      <c r="AT97" s="115" t="s">
        <v>39</v>
      </c>
      <c r="AU97" s="53"/>
      <c r="AV97" s="53"/>
      <c r="AW97" s="53"/>
      <c r="AX97" s="54"/>
      <c r="AY97" s="53" t="s">
        <v>45</v>
      </c>
      <c r="AZ97" s="53"/>
      <c r="BA97" s="53"/>
      <c r="BB97" s="53"/>
      <c r="BC97" s="54"/>
      <c r="BD97" s="47" t="s">
        <v>46</v>
      </c>
      <c r="BE97" s="47"/>
      <c r="BF97" s="47"/>
      <c r="BG97" s="47"/>
      <c r="BH97" s="47"/>
      <c r="BI97" s="47" t="s">
        <v>2</v>
      </c>
      <c r="BJ97" s="47"/>
      <c r="BK97" s="47"/>
      <c r="BL97" s="47"/>
      <c r="BM97" s="47"/>
      <c r="BN97" s="47"/>
      <c r="BO97" s="49"/>
    </row>
    <row r="98" spans="1:67" ht="12" customHeight="1" x14ac:dyDescent="0.25">
      <c r="A98" s="55"/>
      <c r="B98" s="56"/>
      <c r="C98" s="56"/>
      <c r="D98" s="56"/>
      <c r="E98" s="56"/>
      <c r="F98" s="56"/>
      <c r="G98" s="56"/>
      <c r="H98" s="57"/>
      <c r="I98" s="64"/>
      <c r="J98" s="65"/>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6"/>
      <c r="AT98" s="116"/>
      <c r="AU98" s="56"/>
      <c r="AV98" s="56"/>
      <c r="AW98" s="56"/>
      <c r="AX98" s="57"/>
      <c r="AY98" s="56"/>
      <c r="AZ98" s="56"/>
      <c r="BA98" s="56"/>
      <c r="BB98" s="56"/>
      <c r="BC98" s="57"/>
      <c r="BD98" s="48"/>
      <c r="BE98" s="48"/>
      <c r="BF98" s="48"/>
      <c r="BG98" s="48"/>
      <c r="BH98" s="48"/>
      <c r="BI98" s="48"/>
      <c r="BJ98" s="48"/>
      <c r="BK98" s="48"/>
      <c r="BL98" s="48"/>
      <c r="BM98" s="48"/>
      <c r="BN98" s="48"/>
      <c r="BO98" s="50"/>
    </row>
    <row r="99" spans="1:67" ht="12" customHeight="1" x14ac:dyDescent="0.25">
      <c r="A99" s="55"/>
      <c r="B99" s="56"/>
      <c r="C99" s="56"/>
      <c r="D99" s="56"/>
      <c r="E99" s="56"/>
      <c r="F99" s="56"/>
      <c r="G99" s="56"/>
      <c r="H99" s="57"/>
      <c r="I99" s="64"/>
      <c r="J99" s="65"/>
      <c r="K99" s="65"/>
      <c r="L99" s="65"/>
      <c r="M99" s="65"/>
      <c r="N99" s="65"/>
      <c r="O99" s="65"/>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c r="AR99" s="65"/>
      <c r="AS99" s="66"/>
      <c r="AT99" s="116"/>
      <c r="AU99" s="56"/>
      <c r="AV99" s="56"/>
      <c r="AW99" s="56"/>
      <c r="AX99" s="57"/>
      <c r="AY99" s="56"/>
      <c r="AZ99" s="56"/>
      <c r="BA99" s="56"/>
      <c r="BB99" s="56"/>
      <c r="BC99" s="57"/>
      <c r="BD99" s="48"/>
      <c r="BE99" s="48"/>
      <c r="BF99" s="48"/>
      <c r="BG99" s="48"/>
      <c r="BH99" s="48"/>
      <c r="BI99" s="48"/>
      <c r="BJ99" s="48"/>
      <c r="BK99" s="48"/>
      <c r="BL99" s="48"/>
      <c r="BM99" s="48"/>
      <c r="BN99" s="48"/>
      <c r="BO99" s="50"/>
    </row>
    <row r="100" spans="1:67" ht="12" customHeight="1" x14ac:dyDescent="0.25">
      <c r="A100" s="58"/>
      <c r="B100" s="59"/>
      <c r="C100" s="59"/>
      <c r="D100" s="59"/>
      <c r="E100" s="59"/>
      <c r="F100" s="59"/>
      <c r="G100" s="59"/>
      <c r="H100" s="60"/>
      <c r="I100" s="67"/>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68"/>
      <c r="AG100" s="68"/>
      <c r="AH100" s="68"/>
      <c r="AI100" s="68"/>
      <c r="AJ100" s="68"/>
      <c r="AK100" s="68"/>
      <c r="AL100" s="68"/>
      <c r="AM100" s="68"/>
      <c r="AN100" s="68"/>
      <c r="AO100" s="68"/>
      <c r="AP100" s="68"/>
      <c r="AQ100" s="68"/>
      <c r="AR100" s="68"/>
      <c r="AS100" s="69"/>
      <c r="AT100" s="117"/>
      <c r="AU100" s="59"/>
      <c r="AV100" s="59"/>
      <c r="AW100" s="59"/>
      <c r="AX100" s="60"/>
      <c r="AY100" s="59"/>
      <c r="AZ100" s="59"/>
      <c r="BA100" s="59"/>
      <c r="BB100" s="59"/>
      <c r="BC100" s="60"/>
      <c r="BD100" s="48"/>
      <c r="BE100" s="48"/>
      <c r="BF100" s="48"/>
      <c r="BG100" s="48"/>
      <c r="BH100" s="48"/>
      <c r="BI100" s="48"/>
      <c r="BJ100" s="48"/>
      <c r="BK100" s="48"/>
      <c r="BL100" s="48"/>
      <c r="BM100" s="48"/>
      <c r="BN100" s="48"/>
      <c r="BO100" s="50"/>
    </row>
    <row r="101" spans="1:67" ht="18.95" customHeight="1" x14ac:dyDescent="0.25">
      <c r="A101" s="35"/>
      <c r="B101" s="36"/>
      <c r="C101" s="36"/>
      <c r="D101" s="36"/>
      <c r="E101" s="36"/>
      <c r="F101" s="36"/>
      <c r="G101" s="36"/>
      <c r="H101" s="37"/>
      <c r="I101" s="41"/>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3"/>
      <c r="AT101" s="38"/>
      <c r="AU101" s="38"/>
      <c r="AV101" s="38"/>
      <c r="AW101" s="38"/>
      <c r="AX101" s="38"/>
      <c r="AY101" s="38"/>
      <c r="AZ101" s="38"/>
      <c r="BA101" s="38"/>
      <c r="BB101" s="38"/>
      <c r="BC101" s="38"/>
      <c r="BD101" s="39" t="str">
        <f t="shared" ref="BD101:BD104" si="8">IF(OR(AT101="",AY101=""),"",IF(ISERROR(ROUND(AVERAGE(AT101,AY101),0)),"",ROUND(AVERAGE(AT101,AY101),0)))</f>
        <v/>
      </c>
      <c r="BE101" s="39"/>
      <c r="BF101" s="39"/>
      <c r="BG101" s="39"/>
      <c r="BH101" s="39"/>
      <c r="BI101" s="39" t="str">
        <f t="shared" ref="BI101:BI104" si="9">IF(OR(AT101="",AY101="",BD101=""),"",IF(BD101&gt;=75,"PASSED","FAILED"))</f>
        <v/>
      </c>
      <c r="BJ101" s="39"/>
      <c r="BK101" s="39"/>
      <c r="BL101" s="39"/>
      <c r="BM101" s="39"/>
      <c r="BN101" s="39"/>
      <c r="BO101" s="40"/>
    </row>
    <row r="102" spans="1:67" ht="18.95" customHeight="1" x14ac:dyDescent="0.25">
      <c r="A102" s="35"/>
      <c r="B102" s="36"/>
      <c r="C102" s="36"/>
      <c r="D102" s="36"/>
      <c r="E102" s="36"/>
      <c r="F102" s="36"/>
      <c r="G102" s="36"/>
      <c r="H102" s="37"/>
      <c r="I102" s="41"/>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3"/>
      <c r="AT102" s="38"/>
      <c r="AU102" s="38"/>
      <c r="AV102" s="38"/>
      <c r="AW102" s="38"/>
      <c r="AX102" s="38"/>
      <c r="AY102" s="38"/>
      <c r="AZ102" s="38"/>
      <c r="BA102" s="38"/>
      <c r="BB102" s="38"/>
      <c r="BC102" s="38"/>
      <c r="BD102" s="39" t="str">
        <f t="shared" si="8"/>
        <v/>
      </c>
      <c r="BE102" s="39"/>
      <c r="BF102" s="39"/>
      <c r="BG102" s="39"/>
      <c r="BH102" s="39"/>
      <c r="BI102" s="39" t="str">
        <f t="shared" si="9"/>
        <v/>
      </c>
      <c r="BJ102" s="39"/>
      <c r="BK102" s="39"/>
      <c r="BL102" s="39"/>
      <c r="BM102" s="39"/>
      <c r="BN102" s="39"/>
      <c r="BO102" s="40"/>
    </row>
    <row r="103" spans="1:67" ht="18.95" customHeight="1" x14ac:dyDescent="0.25">
      <c r="A103" s="35"/>
      <c r="B103" s="36"/>
      <c r="C103" s="36"/>
      <c r="D103" s="36"/>
      <c r="E103" s="36"/>
      <c r="F103" s="36"/>
      <c r="G103" s="36"/>
      <c r="H103" s="37"/>
      <c r="I103" s="41"/>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3"/>
      <c r="AT103" s="38"/>
      <c r="AU103" s="38"/>
      <c r="AV103" s="38"/>
      <c r="AW103" s="38"/>
      <c r="AX103" s="38"/>
      <c r="AY103" s="38"/>
      <c r="AZ103" s="38"/>
      <c r="BA103" s="38"/>
      <c r="BB103" s="38"/>
      <c r="BC103" s="38"/>
      <c r="BD103" s="39" t="str">
        <f t="shared" si="8"/>
        <v/>
      </c>
      <c r="BE103" s="39"/>
      <c r="BF103" s="39"/>
      <c r="BG103" s="39"/>
      <c r="BH103" s="39"/>
      <c r="BI103" s="39" t="str">
        <f t="shared" si="9"/>
        <v/>
      </c>
      <c r="BJ103" s="39"/>
      <c r="BK103" s="39"/>
      <c r="BL103" s="39"/>
      <c r="BM103" s="39"/>
      <c r="BN103" s="39"/>
      <c r="BO103" s="40"/>
    </row>
    <row r="104" spans="1:67" ht="18.95" customHeight="1" thickBot="1" x14ac:dyDescent="0.3">
      <c r="A104" s="108"/>
      <c r="B104" s="109"/>
      <c r="C104" s="109"/>
      <c r="D104" s="109"/>
      <c r="E104" s="109"/>
      <c r="F104" s="109"/>
      <c r="G104" s="109"/>
      <c r="H104" s="110"/>
      <c r="I104" s="92"/>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93"/>
      <c r="AO104" s="93"/>
      <c r="AP104" s="93"/>
      <c r="AQ104" s="93"/>
      <c r="AR104" s="93"/>
      <c r="AS104" s="94"/>
      <c r="AT104" s="111"/>
      <c r="AU104" s="111"/>
      <c r="AV104" s="111"/>
      <c r="AW104" s="111"/>
      <c r="AX104" s="111"/>
      <c r="AY104" s="111"/>
      <c r="AZ104" s="111"/>
      <c r="BA104" s="111"/>
      <c r="BB104" s="111"/>
      <c r="BC104" s="111"/>
      <c r="BD104" s="112" t="str">
        <f t="shared" si="8"/>
        <v/>
      </c>
      <c r="BE104" s="112"/>
      <c r="BF104" s="112"/>
      <c r="BG104" s="112"/>
      <c r="BH104" s="112"/>
      <c r="BI104" s="112" t="str">
        <f t="shared" si="9"/>
        <v/>
      </c>
      <c r="BJ104" s="112"/>
      <c r="BK104" s="112"/>
      <c r="BL104" s="112"/>
      <c r="BM104" s="112"/>
      <c r="BN104" s="112"/>
      <c r="BO104" s="113"/>
    </row>
    <row r="105" spans="1:67" ht="3" customHeight="1" x14ac:dyDescent="0.2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c r="AZ105" s="106"/>
      <c r="BA105" s="106"/>
      <c r="BB105" s="106"/>
      <c r="BC105" s="106"/>
      <c r="BD105" s="106"/>
      <c r="BE105" s="106"/>
      <c r="BF105" s="106"/>
      <c r="BG105" s="106"/>
      <c r="BH105" s="106"/>
      <c r="BI105" s="106"/>
      <c r="BJ105" s="106"/>
      <c r="BK105" s="106"/>
      <c r="BL105" s="106"/>
      <c r="BM105" s="106"/>
      <c r="BN105" s="106"/>
      <c r="BO105" s="106"/>
    </row>
    <row r="106" spans="1:67" ht="22.5" customHeight="1" x14ac:dyDescent="0.25">
      <c r="A106" s="101" t="s">
        <v>42</v>
      </c>
      <c r="B106" s="101"/>
      <c r="C106" s="101"/>
      <c r="D106" s="101"/>
      <c r="E106" s="101"/>
      <c r="F106" s="101"/>
      <c r="G106" s="101"/>
      <c r="H106" s="101"/>
      <c r="I106" s="101"/>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102" t="s">
        <v>8</v>
      </c>
      <c r="AU106" s="102"/>
      <c r="AV106" s="102"/>
      <c r="AW106" s="102"/>
      <c r="AX106" s="102"/>
      <c r="AY106" s="114"/>
      <c r="AZ106" s="114"/>
      <c r="BA106" s="114"/>
      <c r="BB106" s="114"/>
      <c r="BC106" s="114"/>
      <c r="BD106" s="114"/>
      <c r="BE106" s="114"/>
      <c r="BF106" s="114"/>
      <c r="BG106" s="114"/>
      <c r="BH106" s="114"/>
      <c r="BI106" s="114"/>
      <c r="BJ106" s="114"/>
      <c r="BK106" s="114"/>
      <c r="BL106" s="114"/>
      <c r="BM106" s="114"/>
      <c r="BN106" s="114"/>
      <c r="BO106" s="114"/>
    </row>
    <row r="992" spans="12978:12978" hidden="1" x14ac:dyDescent="0.25">
      <c r="SED992" s="9" t="s">
        <v>83</v>
      </c>
    </row>
    <row r="1017" spans="12977:12981" x14ac:dyDescent="0.25">
      <c r="SED1017" s="107"/>
      <c r="SEE1017" s="107"/>
      <c r="SEF1017" s="107"/>
      <c r="SEG1017" s="107"/>
    </row>
    <row r="1018" spans="12977:12981" x14ac:dyDescent="0.25">
      <c r="SED1018" s="10"/>
      <c r="SEE1018" s="10"/>
      <c r="SEF1018" s="10"/>
      <c r="SEG1018" s="10"/>
    </row>
    <row r="1019" spans="12977:12981" x14ac:dyDescent="0.25">
      <c r="SEC1019" s="106"/>
      <c r="SED1019" s="10"/>
      <c r="SEE1019" s="10"/>
      <c r="SEF1019" s="10"/>
      <c r="SEG1019" s="10"/>
    </row>
    <row r="1020" spans="12977:12981" x14ac:dyDescent="0.25">
      <c r="SEC1020" s="106"/>
      <c r="SED1020" s="10"/>
      <c r="SEE1020" s="10"/>
      <c r="SEF1020" s="10"/>
      <c r="SEG1020" s="10"/>
    </row>
    <row r="1021" spans="12977:12981" x14ac:dyDescent="0.25">
      <c r="SEC1021" s="106"/>
      <c r="SED1021" s="10"/>
      <c r="SEE1021" s="10"/>
      <c r="SEF1021" s="10"/>
      <c r="SEG1021" s="10"/>
    </row>
    <row r="1022" spans="12977:12981" x14ac:dyDescent="0.25">
      <c r="SEC1022" s="106"/>
      <c r="SED1022" s="10"/>
      <c r="SEE1022" s="10"/>
      <c r="SEF1022" s="10"/>
      <c r="SEG1022" s="10"/>
    </row>
    <row r="1023" spans="12977:12981" x14ac:dyDescent="0.25">
      <c r="SEC1023" s="106"/>
      <c r="SED1023" s="10"/>
      <c r="SEE1023" s="10"/>
      <c r="SEF1023" s="10"/>
      <c r="SEG1023" s="10"/>
    </row>
    <row r="1024" spans="12977:12981" x14ac:dyDescent="0.25">
      <c r="SEC1024" s="106"/>
      <c r="SED1024" s="10"/>
      <c r="SEE1024" s="10"/>
      <c r="SEF1024" s="10"/>
      <c r="SEG1024" s="10"/>
    </row>
    <row r="1025" spans="12977:12981" x14ac:dyDescent="0.25">
      <c r="SEC1025" s="106"/>
      <c r="SED1025" s="10"/>
      <c r="SEE1025" s="10"/>
      <c r="SEF1025" s="10"/>
      <c r="SEG1025" s="10"/>
    </row>
    <row r="1026" spans="12977:12981" x14ac:dyDescent="0.25">
      <c r="SEC1026" s="106"/>
      <c r="SED1026" s="10"/>
      <c r="SEE1026" s="10"/>
      <c r="SEF1026" s="10"/>
      <c r="SEG1026" s="10"/>
    </row>
    <row r="1027" spans="12977:12981" x14ac:dyDescent="0.25">
      <c r="SEC1027" s="106"/>
      <c r="SED1027" s="10"/>
      <c r="SEE1027" s="10"/>
      <c r="SEF1027" s="10"/>
      <c r="SEG1027" s="10"/>
    </row>
    <row r="1028" spans="12977:12981" x14ac:dyDescent="0.25">
      <c r="SEC1028" s="106"/>
      <c r="SED1028" s="10"/>
      <c r="SEE1028" s="10"/>
      <c r="SEF1028" s="10"/>
      <c r="SEG1028" s="10"/>
    </row>
    <row r="1029" spans="12977:12981" x14ac:dyDescent="0.25">
      <c r="SEC1029" s="106"/>
      <c r="SED1029" s="10"/>
      <c r="SEE1029" s="10"/>
      <c r="SEF1029" s="10"/>
      <c r="SEG1029" s="10"/>
    </row>
    <row r="1030" spans="12977:12981" x14ac:dyDescent="0.25">
      <c r="SEC1030" s="106"/>
      <c r="SED1030" s="10"/>
      <c r="SEE1030" s="10"/>
      <c r="SEF1030" s="10"/>
      <c r="SEG1030" s="10"/>
    </row>
    <row r="1031" spans="12977:12981" x14ac:dyDescent="0.25">
      <c r="SEC1031" s="106"/>
      <c r="SED1031" s="10"/>
      <c r="SEE1031" s="10"/>
      <c r="SEF1031" s="10"/>
      <c r="SEG1031" s="10"/>
    </row>
    <row r="1032" spans="12977:12981" x14ac:dyDescent="0.25">
      <c r="SEC1032" s="106"/>
      <c r="SED1032" s="10"/>
      <c r="SEE1032" s="10"/>
      <c r="SEF1032" s="10"/>
      <c r="SEG1032" s="10"/>
    </row>
    <row r="1033" spans="12977:12981" x14ac:dyDescent="0.25">
      <c r="SEC1033" s="106"/>
      <c r="SED1033" s="10"/>
      <c r="SEE1033" s="10"/>
      <c r="SEF1033" s="10"/>
      <c r="SEG1033" s="10"/>
    </row>
    <row r="1034" spans="12977:12981" x14ac:dyDescent="0.25">
      <c r="SEC1034" s="106"/>
      <c r="SED1034" s="10"/>
      <c r="SEE1034" s="10"/>
      <c r="SEF1034" s="10"/>
      <c r="SEG1034" s="10"/>
    </row>
    <row r="1035" spans="12977:12981" x14ac:dyDescent="0.25">
      <c r="SEC1035" s="106"/>
      <c r="SED1035" s="10"/>
      <c r="SEE1035" s="10"/>
      <c r="SEF1035" s="10"/>
      <c r="SEG1035" s="10"/>
    </row>
    <row r="1036" spans="12977:12981" x14ac:dyDescent="0.25">
      <c r="SEC1036" s="106"/>
      <c r="SED1036" s="10"/>
    </row>
    <row r="1037" spans="12977:12981" x14ac:dyDescent="0.25">
      <c r="SEC1037" s="106"/>
      <c r="SED1037" s="10"/>
    </row>
    <row r="1038" spans="12977:12981" x14ac:dyDescent="0.25">
      <c r="SEC1038" s="106"/>
      <c r="SED1038" s="10"/>
    </row>
    <row r="1039" spans="12977:12981" x14ac:dyDescent="0.25">
      <c r="SEC1039" s="106"/>
      <c r="SED1039" s="10"/>
    </row>
    <row r="1040" spans="12977:12981" x14ac:dyDescent="0.25">
      <c r="SEC1040" s="106"/>
      <c r="SED1040" s="10"/>
    </row>
    <row r="1041" spans="12977:12978" x14ac:dyDescent="0.25">
      <c r="SEC1041" s="106"/>
      <c r="SED1041" s="10"/>
    </row>
    <row r="1042" spans="12977:12978" x14ac:dyDescent="0.25">
      <c r="SEC1042" s="106"/>
      <c r="SED1042" s="10"/>
    </row>
    <row r="1043" spans="12977:12978" x14ac:dyDescent="0.25">
      <c r="SEC1043" s="106"/>
      <c r="SED1043" s="10"/>
    </row>
    <row r="1044" spans="12977:12978" x14ac:dyDescent="0.25">
      <c r="SEC1044" s="106"/>
      <c r="SED1044" s="10"/>
    </row>
    <row r="1045" spans="12977:12978" x14ac:dyDescent="0.25">
      <c r="SEC1045" s="106"/>
      <c r="SED1045" s="10"/>
    </row>
    <row r="1046" spans="12977:12978" x14ac:dyDescent="0.25">
      <c r="SEC1046" s="106"/>
      <c r="SED1046" s="10"/>
    </row>
    <row r="1047" spans="12977:12978" x14ac:dyDescent="0.25">
      <c r="SEC1047" s="106"/>
      <c r="SED1047" s="10"/>
    </row>
    <row r="1048" spans="12977:12978" x14ac:dyDescent="0.25">
      <c r="SEC1048" s="106"/>
      <c r="SED1048" s="10"/>
    </row>
    <row r="1049" spans="12977:12978" x14ac:dyDescent="0.25">
      <c r="SEC1049" s="106"/>
      <c r="SED1049" s="10"/>
    </row>
    <row r="1050" spans="12977:12978" x14ac:dyDescent="0.25">
      <c r="SEC1050" s="106"/>
      <c r="SED1050" s="10"/>
    </row>
    <row r="1051" spans="12977:12978" x14ac:dyDescent="0.25">
      <c r="SEC1051" s="106"/>
      <c r="SED1051" s="10"/>
    </row>
    <row r="1052" spans="12977:12978" x14ac:dyDescent="0.25">
      <c r="SEC1052" s="106"/>
      <c r="SED1052" s="10"/>
    </row>
    <row r="1053" spans="12977:12978" x14ac:dyDescent="0.25">
      <c r="SEC1053" s="106"/>
      <c r="SED1053" s="10"/>
    </row>
    <row r="1054" spans="12977:12978" x14ac:dyDescent="0.25">
      <c r="SEC1054" s="106"/>
      <c r="SED1054" s="10"/>
    </row>
    <row r="1055" spans="12977:12978" x14ac:dyDescent="0.25">
      <c r="SEC1055" s="106"/>
      <c r="SED1055" s="10"/>
    </row>
    <row r="1056" spans="12977:12978" x14ac:dyDescent="0.25">
      <c r="SEC1056" s="106"/>
      <c r="SED1056" s="10"/>
    </row>
    <row r="1057" spans="12977:12978" x14ac:dyDescent="0.25">
      <c r="SEC1057" s="106"/>
      <c r="SED1057" s="10"/>
    </row>
    <row r="1058" spans="12977:12978" x14ac:dyDescent="0.25">
      <c r="SEC1058" s="106"/>
      <c r="SED1058" s="10"/>
    </row>
    <row r="1059" spans="12977:12978" x14ac:dyDescent="0.25">
      <c r="SEC1059" s="106"/>
      <c r="SED1059" s="10"/>
    </row>
    <row r="1060" spans="12977:12978" x14ac:dyDescent="0.25">
      <c r="SEC1060" s="106"/>
      <c r="SED1060" s="10"/>
    </row>
    <row r="1061" spans="12977:12978" x14ac:dyDescent="0.25">
      <c r="SEC1061" s="106"/>
      <c r="SED1061" s="10"/>
    </row>
    <row r="1062" spans="12977:12978" x14ac:dyDescent="0.25">
      <c r="SEC1062" s="106"/>
      <c r="SED1062" s="10"/>
    </row>
    <row r="1063" spans="12977:12978" x14ac:dyDescent="0.25">
      <c r="SEC1063" s="106"/>
      <c r="SED1063" s="10"/>
    </row>
    <row r="1064" spans="12977:12978" x14ac:dyDescent="0.25">
      <c r="SEC1064" s="106"/>
      <c r="SED1064" s="10"/>
    </row>
    <row r="1065" spans="12977:12978" x14ac:dyDescent="0.25">
      <c r="SEC1065" s="106"/>
      <c r="SED1065" s="10"/>
    </row>
    <row r="1066" spans="12977:12978" x14ac:dyDescent="0.25">
      <c r="SEC1066" s="106"/>
      <c r="SED1066" s="10"/>
    </row>
    <row r="1067" spans="12977:12978" x14ac:dyDescent="0.25">
      <c r="SEC1067" s="106"/>
      <c r="SED1067" s="10"/>
    </row>
    <row r="1068" spans="12977:12978" x14ac:dyDescent="0.25">
      <c r="SEC1068" s="106"/>
      <c r="SED1068" s="10"/>
    </row>
    <row r="1069" spans="12977:12978" x14ac:dyDescent="0.25">
      <c r="SEC1069" s="106"/>
      <c r="SED1069" s="10"/>
    </row>
    <row r="1070" spans="12977:12978" x14ac:dyDescent="0.25">
      <c r="SEC1070" s="106"/>
      <c r="SED1070" s="10"/>
    </row>
    <row r="1071" spans="12977:12978" x14ac:dyDescent="0.25">
      <c r="SEC1071" s="106"/>
      <c r="SED1071" s="10"/>
    </row>
    <row r="1072" spans="12977:12978" x14ac:dyDescent="0.25">
      <c r="SEC1072" s="106"/>
      <c r="SED1072" s="10"/>
    </row>
    <row r="1073" spans="12977:12978" x14ac:dyDescent="0.25">
      <c r="SEC1073" s="106"/>
      <c r="SED1073" s="10"/>
    </row>
    <row r="1074" spans="12977:12978" x14ac:dyDescent="0.25">
      <c r="SEC1074" s="106"/>
      <c r="SED1074" s="10"/>
    </row>
    <row r="1075" spans="12977:12978" x14ac:dyDescent="0.25">
      <c r="SEC1075" s="106"/>
      <c r="SED1075" s="10"/>
    </row>
    <row r="1076" spans="12977:12978" x14ac:dyDescent="0.25">
      <c r="SEC1076" s="106"/>
      <c r="SED1076" s="10"/>
    </row>
    <row r="1077" spans="12977:12978" x14ac:dyDescent="0.25">
      <c r="SEC1077" s="106"/>
      <c r="SED1077" s="10"/>
    </row>
    <row r="1078" spans="12977:12978" x14ac:dyDescent="0.25">
      <c r="SEC1078" s="106"/>
      <c r="SED1078" s="10"/>
    </row>
    <row r="1079" spans="12977:12978" x14ac:dyDescent="0.25">
      <c r="SEC1079" s="106"/>
      <c r="SED1079" s="10"/>
    </row>
    <row r="1080" spans="12977:12978" x14ac:dyDescent="0.25">
      <c r="SEC1080" s="106"/>
      <c r="SED1080" s="10"/>
    </row>
    <row r="1081" spans="12977:12978" x14ac:dyDescent="0.25">
      <c r="SEC1081" s="106"/>
      <c r="SED1081" s="10"/>
    </row>
    <row r="1082" spans="12977:12978" x14ac:dyDescent="0.25">
      <c r="SEC1082" s="106"/>
      <c r="SED1082" s="10"/>
    </row>
    <row r="1083" spans="12977:12978" x14ac:dyDescent="0.25">
      <c r="SEC1083" s="106"/>
      <c r="SED1083" s="10"/>
    </row>
    <row r="1084" spans="12977:12978" x14ac:dyDescent="0.25">
      <c r="SEC1084" s="106"/>
      <c r="SED1084" s="10"/>
    </row>
    <row r="1085" spans="12977:12978" x14ac:dyDescent="0.25">
      <c r="SEC1085" s="106"/>
      <c r="SED1085" s="10"/>
    </row>
    <row r="1086" spans="12977:12978" x14ac:dyDescent="0.25">
      <c r="SEC1086" s="106"/>
      <c r="SED1086" s="10"/>
    </row>
    <row r="1087" spans="12977:12978" x14ac:dyDescent="0.25">
      <c r="SEC1087" s="106"/>
      <c r="SED1087" s="10"/>
    </row>
    <row r="1088" spans="12977:12978" x14ac:dyDescent="0.25">
      <c r="SEC1088" s="106"/>
      <c r="SED1088" s="10"/>
    </row>
    <row r="1089" spans="12977:12978" x14ac:dyDescent="0.25">
      <c r="SEC1089" s="106"/>
      <c r="SED1089" s="10"/>
    </row>
    <row r="1090" spans="12977:12978" x14ac:dyDescent="0.25">
      <c r="SEC1090" s="106"/>
      <c r="SED1090" s="10"/>
    </row>
  </sheetData>
  <sheetProtection formatCells="0" selectLockedCells="1"/>
  <sortState xmlns:xlrd2="http://schemas.microsoft.com/office/spreadsheetml/2017/richdata2" ref="SEF1001:SEF1007">
    <sortCondition ref="SEF1001"/>
  </sortState>
  <dataConsolidate/>
  <mergeCells count="366">
    <mergeCell ref="A91:Q91"/>
    <mergeCell ref="AG90:AT90"/>
    <mergeCell ref="BD85:BH85"/>
    <mergeCell ref="BI85:BO85"/>
    <mergeCell ref="AT84:AX84"/>
    <mergeCell ref="AY84:BC84"/>
    <mergeCell ref="AT59:AX59"/>
    <mergeCell ref="S95:V95"/>
    <mergeCell ref="W95:AB95"/>
    <mergeCell ref="AC95:AF95"/>
    <mergeCell ref="AH95:AK95"/>
    <mergeCell ref="AL95:BE95"/>
    <mergeCell ref="BF95:BJ95"/>
    <mergeCell ref="BK95:BO95"/>
    <mergeCell ref="AS66:AX66"/>
    <mergeCell ref="BK66:BO66"/>
    <mergeCell ref="I83:AS83"/>
    <mergeCell ref="BD76:BH76"/>
    <mergeCell ref="A70:H73"/>
    <mergeCell ref="I70:AS73"/>
    <mergeCell ref="A64:BO65"/>
    <mergeCell ref="A69:BO69"/>
    <mergeCell ref="AT70:BC71"/>
    <mergeCell ref="A66:D66"/>
    <mergeCell ref="BI76:BO76"/>
    <mergeCell ref="AT75:AX75"/>
    <mergeCell ref="A61:H61"/>
    <mergeCell ref="AY59:BC59"/>
    <mergeCell ref="BI70:BO73"/>
    <mergeCell ref="AT72:AX73"/>
    <mergeCell ref="AY72:BC73"/>
    <mergeCell ref="AF66:AL66"/>
    <mergeCell ref="BD59:BH59"/>
    <mergeCell ref="BI59:BO59"/>
    <mergeCell ref="AT60:AX60"/>
    <mergeCell ref="AY60:BC60"/>
    <mergeCell ref="BD60:BH60"/>
    <mergeCell ref="AT74:AX74"/>
    <mergeCell ref="AT63:AX63"/>
    <mergeCell ref="AY63:BO63"/>
    <mergeCell ref="A63:I63"/>
    <mergeCell ref="J63:AS63"/>
    <mergeCell ref="I59:AS59"/>
    <mergeCell ref="BI40:BO40"/>
    <mergeCell ref="AY39:BC39"/>
    <mergeCell ref="I40:AS40"/>
    <mergeCell ref="BD41:BH41"/>
    <mergeCell ref="I41:AS41"/>
    <mergeCell ref="BI39:BO39"/>
    <mergeCell ref="AY66:AZ66"/>
    <mergeCell ref="BI60:BO60"/>
    <mergeCell ref="BI58:BO58"/>
    <mergeCell ref="AT58:AX58"/>
    <mergeCell ref="AY58:BC58"/>
    <mergeCell ref="BD58:BH58"/>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Y91:AO91"/>
    <mergeCell ref="AU91:BD91"/>
    <mergeCell ref="I60:AS60"/>
    <mergeCell ref="AT61:AX61"/>
    <mergeCell ref="AY61:BC61"/>
    <mergeCell ref="AT97:AX100"/>
    <mergeCell ref="AY97:BC10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61:BH61"/>
    <mergeCell ref="BI61:BO61"/>
    <mergeCell ref="BD77:BH77"/>
    <mergeCell ref="A62:BO62"/>
    <mergeCell ref="AM66:AR66"/>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H13:AJ13"/>
    <mergeCell ref="P14:S14"/>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BI35:BO35"/>
    <mergeCell ref="AY23:AZ23"/>
    <mergeCell ref="A22:BO22"/>
    <mergeCell ref="A26:BO26"/>
    <mergeCell ref="A27:H30"/>
    <mergeCell ref="A31:H31"/>
    <mergeCell ref="A68:F68"/>
    <mergeCell ref="BD42:BH42"/>
    <mergeCell ref="AY41:BC41"/>
    <mergeCell ref="AT41:AX41"/>
    <mergeCell ref="I42:AS42"/>
    <mergeCell ref="A41:H41"/>
    <mergeCell ref="A42:H42"/>
    <mergeCell ref="V47:AE47"/>
    <mergeCell ref="A46:BO46"/>
    <mergeCell ref="BI42:BO42"/>
    <mergeCell ref="BD43:BH43"/>
    <mergeCell ref="BI43:BO43"/>
    <mergeCell ref="AT42:AX42"/>
    <mergeCell ref="AY42:BC42"/>
    <mergeCell ref="A44:BO44"/>
    <mergeCell ref="E45:BO45"/>
    <mergeCell ref="A45:D45"/>
    <mergeCell ref="A58:H58"/>
    <mergeCell ref="A59:H59"/>
    <mergeCell ref="BK52:BO52"/>
    <mergeCell ref="BF52:BJ52"/>
    <mergeCell ref="AL52:BE52"/>
    <mergeCell ref="I54:AS57"/>
    <mergeCell ref="I58:AS58"/>
    <mergeCell ref="AT77:AX77"/>
    <mergeCell ref="AY77:BC77"/>
    <mergeCell ref="AT76:AX76"/>
    <mergeCell ref="A82:H82"/>
    <mergeCell ref="I81:AS81"/>
    <mergeCell ref="AT40:AX40"/>
    <mergeCell ref="AY31:BC31"/>
    <mergeCell ref="A40:H40"/>
    <mergeCell ref="A60:H60"/>
    <mergeCell ref="A79:H79"/>
    <mergeCell ref="A77:H77"/>
    <mergeCell ref="I79:AS79"/>
    <mergeCell ref="I77:AS77"/>
    <mergeCell ref="I78:AS78"/>
    <mergeCell ref="E66:AA66"/>
    <mergeCell ref="AB66:AE66"/>
    <mergeCell ref="A47:E47"/>
    <mergeCell ref="AG47:AT47"/>
    <mergeCell ref="A43:BC43"/>
    <mergeCell ref="I39:AS39"/>
    <mergeCell ref="A32:H32"/>
    <mergeCell ref="A33:H33"/>
    <mergeCell ref="A34:H34"/>
    <mergeCell ref="I61:AS61"/>
    <mergeCell ref="BD70:BH73"/>
    <mergeCell ref="I74:AS74"/>
    <mergeCell ref="I82:AS82"/>
    <mergeCell ref="G68:AM68"/>
    <mergeCell ref="AY76:BC76"/>
    <mergeCell ref="BI74:BO74"/>
    <mergeCell ref="AT83:AX83"/>
    <mergeCell ref="AY80:BC80"/>
    <mergeCell ref="AY81:BC81"/>
    <mergeCell ref="AY82:BC82"/>
    <mergeCell ref="A74:H74"/>
    <mergeCell ref="A75:H75"/>
    <mergeCell ref="A76:H76"/>
    <mergeCell ref="A78:H78"/>
    <mergeCell ref="BI77:BO77"/>
    <mergeCell ref="AT79:AX79"/>
    <mergeCell ref="AY79:BC79"/>
    <mergeCell ref="BD79:BH79"/>
    <mergeCell ref="BI79:BO79"/>
    <mergeCell ref="BD80:BH80"/>
    <mergeCell ref="BI80:BO80"/>
    <mergeCell ref="AY75:BC75"/>
    <mergeCell ref="BD75:BH75"/>
    <mergeCell ref="BI75:BO75"/>
    <mergeCell ref="BD86:BH86"/>
    <mergeCell ref="BI86:BO86"/>
    <mergeCell ref="AT78:AX78"/>
    <mergeCell ref="AY78:BC78"/>
    <mergeCell ref="BD78:BH78"/>
    <mergeCell ref="BI78:BO78"/>
    <mergeCell ref="BD84:BH84"/>
    <mergeCell ref="BI84:BO84"/>
    <mergeCell ref="AT85:AX85"/>
    <mergeCell ref="AY85:BC85"/>
    <mergeCell ref="BD81:BH81"/>
    <mergeCell ref="BH1:BO1"/>
    <mergeCell ref="BA66:BG66"/>
    <mergeCell ref="BH66:BJ66"/>
    <mergeCell ref="A101:H101"/>
    <mergeCell ref="A84:H84"/>
    <mergeCell ref="I84:AS84"/>
    <mergeCell ref="A86:BC86"/>
    <mergeCell ref="A92:S92"/>
    <mergeCell ref="Y92:AS92"/>
    <mergeCell ref="AZ92:BO92"/>
    <mergeCell ref="A93:S93"/>
    <mergeCell ref="Y93:AS93"/>
    <mergeCell ref="V90:AE90"/>
    <mergeCell ref="A83:H83"/>
    <mergeCell ref="A67:BO67"/>
    <mergeCell ref="BI81:BO81"/>
    <mergeCell ref="A81:H81"/>
    <mergeCell ref="BD82:BH82"/>
    <mergeCell ref="BD83:BH83"/>
    <mergeCell ref="A80:H80"/>
    <mergeCell ref="I85:AS85"/>
    <mergeCell ref="I101:AS101"/>
    <mergeCell ref="A85:H85"/>
    <mergeCell ref="AP16:BO16"/>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s>
  <phoneticPr fontId="9" type="noConversion"/>
  <pageMargins left="0.25" right="0.25" top="0.25" bottom="0" header="0" footer="0"/>
  <pageSetup paperSize="5" scale="59" orientation="portrait" horizontalDpi="4294967293" verticalDpi="4294967292" r:id="rId1"/>
  <rowBreaks count="1" manualBreakCount="1">
    <brk id="107" max="16383" man="1"/>
  </rowBreaks>
  <colBreaks count="1" manualBreakCount="1">
    <brk id="67" max="1048575" man="1"/>
  </colBreaks>
  <drawing r:id="rId2"/>
  <extLs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6"/>
  <sheetViews>
    <sheetView showGridLines="0" zoomScale="70" zoomScaleNormal="70" zoomScalePageLayoutView="125" workbookViewId="0">
      <selection activeCell="BR22" sqref="BR22"/>
    </sheetView>
  </sheetViews>
  <sheetFormatPr defaultColWidth="11" defaultRowHeight="15.75" x14ac:dyDescent="0.25"/>
  <cols>
    <col min="1" max="1" width="2.5" style="10" customWidth="1"/>
    <col min="2" max="7" width="3" style="10" customWidth="1"/>
    <col min="8" max="8" width="3.5" style="10" customWidth="1"/>
    <col min="9" max="27" width="2.125" style="10" customWidth="1"/>
    <col min="28" max="31" width="2.625" style="10" customWidth="1"/>
    <col min="32" max="45" width="2.375" style="10" customWidth="1"/>
    <col min="46" max="55" width="2.125" style="10" customWidth="1"/>
    <col min="56" max="58" width="2.875" style="10" customWidth="1"/>
    <col min="59" max="59" width="1.5" style="10" customWidth="1"/>
    <col min="60" max="60" width="2.875" style="10" customWidth="1"/>
    <col min="61" max="67" width="1.625" style="10" customWidth="1"/>
    <col min="68" max="16384" width="11" style="10"/>
  </cols>
  <sheetData>
    <row r="1" spans="1:67" s="3" customFormat="1" ht="16.5" customHeight="1" thickBot="1" x14ac:dyDescent="0.3">
      <c r="A1" s="100" t="s">
        <v>70</v>
      </c>
      <c r="B1" s="100"/>
      <c r="C1" s="100"/>
      <c r="D1" s="4"/>
      <c r="E1" s="4"/>
      <c r="F1" s="4"/>
      <c r="G1" s="4"/>
      <c r="H1" s="4"/>
      <c r="I1" s="5" t="str">
        <f>IF(FRONT!F8="","",FRONT!F8&amp;","&amp;"  "&amp;FRONT!Y8&amp;"  "&amp;FRONT!AZ8)</f>
        <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32" t="s">
        <v>71</v>
      </c>
      <c r="BI1" s="132"/>
      <c r="BJ1" s="132"/>
      <c r="BK1" s="132"/>
      <c r="BL1" s="132"/>
      <c r="BM1" s="132"/>
      <c r="BN1" s="132"/>
      <c r="BO1" s="132"/>
    </row>
    <row r="2" spans="1:67" ht="1.5" customHeight="1" x14ac:dyDescent="0.25">
      <c r="A2" s="11"/>
      <c r="I2" s="12"/>
      <c r="BO2" s="13"/>
    </row>
    <row r="3" spans="1:67" ht="1.5" customHeight="1" x14ac:dyDescent="0.25">
      <c r="A3" s="146"/>
      <c r="B3" s="146"/>
      <c r="C3" s="146"/>
      <c r="D3" s="146"/>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c r="AX3" s="146"/>
      <c r="AY3" s="146"/>
      <c r="AZ3" s="146"/>
      <c r="BA3" s="146"/>
      <c r="BB3" s="146"/>
      <c r="BC3" s="146"/>
      <c r="BD3" s="146"/>
      <c r="BE3" s="146"/>
      <c r="BF3" s="146"/>
      <c r="BG3" s="146"/>
      <c r="BH3" s="146"/>
      <c r="BI3" s="146"/>
      <c r="BJ3" s="146"/>
      <c r="BK3" s="146"/>
      <c r="BL3" s="146"/>
      <c r="BM3" s="146"/>
      <c r="BN3" s="146"/>
      <c r="BO3" s="146"/>
    </row>
    <row r="4" spans="1:67" x14ac:dyDescent="0.25">
      <c r="A4" s="45" t="s">
        <v>35</v>
      </c>
      <c r="B4" s="45"/>
      <c r="C4" s="45"/>
      <c r="D4" s="45"/>
      <c r="E4" s="72"/>
      <c r="F4" s="73"/>
      <c r="G4" s="73"/>
      <c r="H4" s="73"/>
      <c r="I4" s="73"/>
      <c r="J4" s="73"/>
      <c r="K4" s="73"/>
      <c r="L4" s="73"/>
      <c r="M4" s="73"/>
      <c r="N4" s="73"/>
      <c r="O4" s="73"/>
      <c r="P4" s="73"/>
      <c r="Q4" s="73"/>
      <c r="R4" s="73"/>
      <c r="S4" s="73"/>
      <c r="T4" s="73"/>
      <c r="U4" s="73"/>
      <c r="V4" s="73"/>
      <c r="W4" s="73"/>
      <c r="X4" s="73"/>
      <c r="Y4" s="73"/>
      <c r="Z4" s="73"/>
      <c r="AA4" s="73"/>
      <c r="AB4" s="70" t="s">
        <v>44</v>
      </c>
      <c r="AC4" s="70"/>
      <c r="AD4" s="70"/>
      <c r="AE4" s="70"/>
      <c r="AF4" s="73"/>
      <c r="AG4" s="73"/>
      <c r="AH4" s="73"/>
      <c r="AI4" s="73"/>
      <c r="AJ4" s="73"/>
      <c r="AK4" s="73"/>
      <c r="AL4" s="73"/>
      <c r="AM4" s="45" t="s">
        <v>36</v>
      </c>
      <c r="AN4" s="45"/>
      <c r="AO4" s="45"/>
      <c r="AP4" s="45"/>
      <c r="AQ4" s="45"/>
      <c r="AR4" s="45"/>
      <c r="AS4" s="73"/>
      <c r="AT4" s="73"/>
      <c r="AU4" s="73"/>
      <c r="AV4" s="73"/>
      <c r="AW4" s="73"/>
      <c r="AX4" s="73"/>
      <c r="AY4" s="45" t="s">
        <v>3</v>
      </c>
      <c r="AZ4" s="45"/>
      <c r="BA4" s="72"/>
      <c r="BB4" s="73"/>
      <c r="BC4" s="73"/>
      <c r="BD4" s="73"/>
      <c r="BE4" s="73"/>
      <c r="BF4" s="73"/>
      <c r="BG4" s="73"/>
      <c r="BH4" s="70" t="s">
        <v>4</v>
      </c>
      <c r="BI4" s="70"/>
      <c r="BJ4" s="70"/>
      <c r="BK4" s="73"/>
      <c r="BL4" s="73"/>
      <c r="BM4" s="73"/>
      <c r="BN4" s="73"/>
      <c r="BO4" s="73"/>
    </row>
    <row r="5" spans="1:67" x14ac:dyDescent="0.25">
      <c r="A5" s="45" t="s">
        <v>38</v>
      </c>
      <c r="B5" s="45"/>
      <c r="C5" s="45"/>
      <c r="D5" s="45"/>
      <c r="E5" s="45"/>
      <c r="F5" s="45"/>
      <c r="G5" s="72"/>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0" t="s">
        <v>5</v>
      </c>
      <c r="AO5" s="70"/>
      <c r="AP5" s="70"/>
      <c r="AQ5" s="70"/>
      <c r="AR5" s="70"/>
      <c r="AS5" s="72"/>
      <c r="AT5" s="73"/>
      <c r="AU5" s="73"/>
      <c r="AV5" s="73"/>
      <c r="AW5" s="73"/>
      <c r="AX5" s="73"/>
      <c r="AY5" s="73"/>
      <c r="AZ5" s="73"/>
      <c r="BA5" s="73"/>
      <c r="BB5" s="73"/>
      <c r="BC5" s="73"/>
      <c r="BD5" s="73"/>
      <c r="BE5" s="73"/>
      <c r="BF5" s="73"/>
      <c r="BG5" s="73"/>
      <c r="BH5" s="73"/>
      <c r="BI5" s="73"/>
      <c r="BJ5" s="73"/>
      <c r="BK5" s="73"/>
      <c r="BL5" s="73"/>
      <c r="BM5" s="73"/>
      <c r="BN5" s="73"/>
      <c r="BO5" s="73"/>
    </row>
    <row r="6" spans="1:67" ht="3" customHeight="1" thickBot="1" x14ac:dyDescent="0.3">
      <c r="A6" s="100"/>
      <c r="B6" s="100"/>
      <c r="C6" s="100"/>
      <c r="D6" s="100"/>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c r="AN6" s="100"/>
      <c r="AO6" s="100"/>
      <c r="AP6" s="100"/>
      <c r="AQ6" s="100"/>
      <c r="AR6" s="100"/>
      <c r="AS6" s="100"/>
      <c r="AT6" s="100"/>
      <c r="AU6" s="100"/>
      <c r="AV6" s="100"/>
      <c r="AW6" s="100"/>
      <c r="AX6" s="100"/>
      <c r="AY6" s="100"/>
      <c r="AZ6" s="100"/>
      <c r="BA6" s="100"/>
      <c r="BB6" s="100"/>
      <c r="BC6" s="100"/>
      <c r="BD6" s="100"/>
      <c r="BE6" s="100"/>
      <c r="BF6" s="100"/>
      <c r="BG6" s="100"/>
      <c r="BH6" s="100"/>
      <c r="BI6" s="100"/>
      <c r="BJ6" s="100"/>
      <c r="BK6" s="100"/>
      <c r="BL6" s="100"/>
      <c r="BM6" s="100"/>
      <c r="BN6" s="100"/>
      <c r="BO6" s="100"/>
    </row>
    <row r="7" spans="1:67" ht="11.25" customHeight="1" x14ac:dyDescent="0.25">
      <c r="A7" s="52" t="s">
        <v>69</v>
      </c>
      <c r="B7" s="53"/>
      <c r="C7" s="53"/>
      <c r="D7" s="53"/>
      <c r="E7" s="53"/>
      <c r="F7" s="53"/>
      <c r="G7" s="53"/>
      <c r="H7" s="54"/>
      <c r="I7" s="61" t="s">
        <v>97</v>
      </c>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3"/>
      <c r="AT7" s="147" t="s">
        <v>1</v>
      </c>
      <c r="AU7" s="147"/>
      <c r="AV7" s="147"/>
      <c r="AW7" s="147"/>
      <c r="AX7" s="147"/>
      <c r="AY7" s="147"/>
      <c r="AZ7" s="147"/>
      <c r="BA7" s="147"/>
      <c r="BB7" s="147"/>
      <c r="BC7" s="147"/>
      <c r="BD7" s="47" t="s">
        <v>39</v>
      </c>
      <c r="BE7" s="47"/>
      <c r="BF7" s="47"/>
      <c r="BG7" s="47"/>
      <c r="BH7" s="47"/>
      <c r="BI7" s="47" t="s">
        <v>2</v>
      </c>
      <c r="BJ7" s="47"/>
      <c r="BK7" s="47"/>
      <c r="BL7" s="47"/>
      <c r="BM7" s="47"/>
      <c r="BN7" s="47"/>
      <c r="BO7" s="49"/>
    </row>
    <row r="8" spans="1:67" ht="11.25" customHeight="1" x14ac:dyDescent="0.25">
      <c r="A8" s="55"/>
      <c r="B8" s="56"/>
      <c r="C8" s="56"/>
      <c r="D8" s="56"/>
      <c r="E8" s="56"/>
      <c r="F8" s="56"/>
      <c r="G8" s="56"/>
      <c r="H8" s="57"/>
      <c r="I8" s="64"/>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6"/>
      <c r="AT8" s="126"/>
      <c r="AU8" s="126"/>
      <c r="AV8" s="126"/>
      <c r="AW8" s="126"/>
      <c r="AX8" s="126"/>
      <c r="AY8" s="126"/>
      <c r="AZ8" s="126"/>
      <c r="BA8" s="126"/>
      <c r="BB8" s="126"/>
      <c r="BC8" s="126"/>
      <c r="BD8" s="48"/>
      <c r="BE8" s="48"/>
      <c r="BF8" s="48"/>
      <c r="BG8" s="48"/>
      <c r="BH8" s="48"/>
      <c r="BI8" s="48"/>
      <c r="BJ8" s="48"/>
      <c r="BK8" s="48"/>
      <c r="BL8" s="48"/>
      <c r="BM8" s="48"/>
      <c r="BN8" s="48"/>
      <c r="BO8" s="50"/>
    </row>
    <row r="9" spans="1:67" ht="11.25" customHeight="1" x14ac:dyDescent="0.25">
      <c r="A9" s="55"/>
      <c r="B9" s="56"/>
      <c r="C9" s="56"/>
      <c r="D9" s="56"/>
      <c r="E9" s="56"/>
      <c r="F9" s="56"/>
      <c r="G9" s="56"/>
      <c r="H9" s="57"/>
      <c r="I9" s="64"/>
      <c r="J9" s="65"/>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6"/>
      <c r="AT9" s="126" t="str">
        <f>IF(BK4="","",IF(BK4="1ST","1ST",IF(BK4="2ND","3RD")))</f>
        <v/>
      </c>
      <c r="AU9" s="126"/>
      <c r="AV9" s="126"/>
      <c r="AW9" s="126"/>
      <c r="AX9" s="126"/>
      <c r="AY9" s="126" t="str">
        <f>IF(BK4="","",IF(BK4="1ST","2ND",IF(BK4="2ND","4TH")))</f>
        <v/>
      </c>
      <c r="AZ9" s="126"/>
      <c r="BA9" s="126"/>
      <c r="BB9" s="126"/>
      <c r="BC9" s="126"/>
      <c r="BD9" s="48"/>
      <c r="BE9" s="48"/>
      <c r="BF9" s="48"/>
      <c r="BG9" s="48"/>
      <c r="BH9" s="48"/>
      <c r="BI9" s="48"/>
      <c r="BJ9" s="48"/>
      <c r="BK9" s="48"/>
      <c r="BL9" s="48"/>
      <c r="BM9" s="48"/>
      <c r="BN9" s="48"/>
      <c r="BO9" s="50"/>
    </row>
    <row r="10" spans="1:67" ht="11.25" customHeight="1" x14ac:dyDescent="0.25">
      <c r="A10" s="58"/>
      <c r="B10" s="59"/>
      <c r="C10" s="59"/>
      <c r="D10" s="59"/>
      <c r="E10" s="59"/>
      <c r="F10" s="59"/>
      <c r="G10" s="59"/>
      <c r="H10" s="60"/>
      <c r="I10" s="67"/>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9"/>
      <c r="AT10" s="126"/>
      <c r="AU10" s="126"/>
      <c r="AV10" s="126"/>
      <c r="AW10" s="126"/>
      <c r="AX10" s="126"/>
      <c r="AY10" s="126"/>
      <c r="AZ10" s="126"/>
      <c r="BA10" s="126"/>
      <c r="BB10" s="126"/>
      <c r="BC10" s="126"/>
      <c r="BD10" s="48"/>
      <c r="BE10" s="48"/>
      <c r="BF10" s="48"/>
      <c r="BG10" s="48"/>
      <c r="BH10" s="48"/>
      <c r="BI10" s="48"/>
      <c r="BJ10" s="48"/>
      <c r="BK10" s="48"/>
      <c r="BL10" s="48"/>
      <c r="BM10" s="48"/>
      <c r="BN10" s="48"/>
      <c r="BO10" s="50"/>
    </row>
    <row r="11" spans="1:67" ht="20.100000000000001" customHeight="1" x14ac:dyDescent="0.25">
      <c r="A11" s="35"/>
      <c r="B11" s="36"/>
      <c r="C11" s="36"/>
      <c r="D11" s="36"/>
      <c r="E11" s="36"/>
      <c r="F11" s="36"/>
      <c r="G11" s="36"/>
      <c r="H11" s="37"/>
      <c r="I11" s="41"/>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3"/>
      <c r="AT11" s="38"/>
      <c r="AU11" s="38"/>
      <c r="AV11" s="38"/>
      <c r="AW11" s="38"/>
      <c r="AX11" s="38"/>
      <c r="AY11" s="38"/>
      <c r="AZ11" s="38"/>
      <c r="BA11" s="38"/>
      <c r="BB11" s="38"/>
      <c r="BC11" s="38"/>
      <c r="BD11" s="39" t="str">
        <f t="shared" ref="BD11" si="0">IF(OR(AT11="",AY11=""),"",IF(ISERROR(ROUND(AVERAGE(AT11,AY11),0)),"",ROUND(AVERAGE(AT11,AY11),0)))</f>
        <v/>
      </c>
      <c r="BE11" s="39"/>
      <c r="BF11" s="39"/>
      <c r="BG11" s="39"/>
      <c r="BH11" s="39"/>
      <c r="BI11" s="39" t="str">
        <f t="shared" ref="BI11" si="1">IF(OR(AT11="",AY11="",BD11=""),"",IF(BD11&gt;=75,"PASSED","FAILED"))</f>
        <v/>
      </c>
      <c r="BJ11" s="39"/>
      <c r="BK11" s="39"/>
      <c r="BL11" s="39"/>
      <c r="BM11" s="39"/>
      <c r="BN11" s="39"/>
      <c r="BO11" s="40"/>
    </row>
    <row r="12" spans="1:67" ht="20.100000000000001" customHeight="1" x14ac:dyDescent="0.25">
      <c r="A12" s="35"/>
      <c r="B12" s="36"/>
      <c r="C12" s="36"/>
      <c r="D12" s="36"/>
      <c r="E12" s="36"/>
      <c r="F12" s="36"/>
      <c r="G12" s="36"/>
      <c r="H12" s="37"/>
      <c r="I12" s="41"/>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3"/>
      <c r="AT12" s="38"/>
      <c r="AU12" s="38"/>
      <c r="AV12" s="38"/>
      <c r="AW12" s="38"/>
      <c r="AX12" s="38"/>
      <c r="AY12" s="38"/>
      <c r="AZ12" s="38"/>
      <c r="BA12" s="38"/>
      <c r="BB12" s="38"/>
      <c r="BC12" s="38"/>
      <c r="BD12" s="39" t="str">
        <f t="shared" ref="BD12:BD22" si="2">IF(OR(AT12="",AY12=""),"",IF(ISERROR(ROUND(AVERAGE(AT12,AY12),0)),"",ROUND(AVERAGE(AT12,AY12),0)))</f>
        <v/>
      </c>
      <c r="BE12" s="39"/>
      <c r="BF12" s="39"/>
      <c r="BG12" s="39"/>
      <c r="BH12" s="39"/>
      <c r="BI12" s="80" t="str">
        <f t="shared" ref="BI12:BI22" si="3">IF(OR(AT12="",AY12="",BD12=""),"",IF(BD12&gt;=75,"PASSED","FAILED"))</f>
        <v/>
      </c>
      <c r="BJ12" s="81"/>
      <c r="BK12" s="81"/>
      <c r="BL12" s="81"/>
      <c r="BM12" s="81"/>
      <c r="BN12" s="81"/>
      <c r="BO12" s="96"/>
    </row>
    <row r="13" spans="1:67" ht="20.100000000000001" customHeight="1" x14ac:dyDescent="0.25">
      <c r="A13" s="35"/>
      <c r="B13" s="36"/>
      <c r="C13" s="36"/>
      <c r="D13" s="36"/>
      <c r="E13" s="36"/>
      <c r="F13" s="36"/>
      <c r="G13" s="36"/>
      <c r="H13" s="37"/>
      <c r="I13" s="41"/>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3"/>
      <c r="AT13" s="38"/>
      <c r="AU13" s="38"/>
      <c r="AV13" s="38"/>
      <c r="AW13" s="38"/>
      <c r="AX13" s="38"/>
      <c r="AY13" s="38"/>
      <c r="AZ13" s="38"/>
      <c r="BA13" s="38"/>
      <c r="BB13" s="38"/>
      <c r="BC13" s="38"/>
      <c r="BD13" s="39" t="str">
        <f t="shared" si="2"/>
        <v/>
      </c>
      <c r="BE13" s="39"/>
      <c r="BF13" s="39"/>
      <c r="BG13" s="39"/>
      <c r="BH13" s="39"/>
      <c r="BI13" s="80" t="str">
        <f t="shared" si="3"/>
        <v/>
      </c>
      <c r="BJ13" s="81"/>
      <c r="BK13" s="81"/>
      <c r="BL13" s="81"/>
      <c r="BM13" s="81"/>
      <c r="BN13" s="81"/>
      <c r="BO13" s="96"/>
    </row>
    <row r="14" spans="1:67" ht="20.100000000000001" customHeight="1" x14ac:dyDescent="0.25">
      <c r="A14" s="35"/>
      <c r="B14" s="36"/>
      <c r="C14" s="36"/>
      <c r="D14" s="36"/>
      <c r="E14" s="36"/>
      <c r="F14" s="36"/>
      <c r="G14" s="36"/>
      <c r="H14" s="37"/>
      <c r="I14" s="41"/>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3"/>
      <c r="AT14" s="38"/>
      <c r="AU14" s="38"/>
      <c r="AV14" s="38"/>
      <c r="AW14" s="38"/>
      <c r="AX14" s="38"/>
      <c r="AY14" s="38"/>
      <c r="AZ14" s="38"/>
      <c r="BA14" s="38"/>
      <c r="BB14" s="38"/>
      <c r="BC14" s="38"/>
      <c r="BD14" s="39" t="str">
        <f t="shared" si="2"/>
        <v/>
      </c>
      <c r="BE14" s="39"/>
      <c r="BF14" s="39"/>
      <c r="BG14" s="39"/>
      <c r="BH14" s="39"/>
      <c r="BI14" s="80" t="str">
        <f t="shared" si="3"/>
        <v/>
      </c>
      <c r="BJ14" s="81"/>
      <c r="BK14" s="81"/>
      <c r="BL14" s="81"/>
      <c r="BM14" s="81"/>
      <c r="BN14" s="81"/>
      <c r="BO14" s="96"/>
    </row>
    <row r="15" spans="1:67" ht="20.100000000000001" customHeight="1" x14ac:dyDescent="0.25">
      <c r="A15" s="35"/>
      <c r="B15" s="36"/>
      <c r="C15" s="36"/>
      <c r="D15" s="36"/>
      <c r="E15" s="36"/>
      <c r="F15" s="36"/>
      <c r="G15" s="36"/>
      <c r="H15" s="37"/>
      <c r="I15" s="41"/>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3"/>
      <c r="AT15" s="90"/>
      <c r="AU15" s="90"/>
      <c r="AV15" s="90"/>
      <c r="AW15" s="90"/>
      <c r="AX15" s="90"/>
      <c r="AY15" s="90"/>
      <c r="AZ15" s="90"/>
      <c r="BA15" s="90"/>
      <c r="BB15" s="90"/>
      <c r="BC15" s="90"/>
      <c r="BD15" s="39" t="str">
        <f t="shared" si="2"/>
        <v/>
      </c>
      <c r="BE15" s="39"/>
      <c r="BF15" s="39"/>
      <c r="BG15" s="39"/>
      <c r="BH15" s="39"/>
      <c r="BI15" s="80" t="str">
        <f t="shared" si="3"/>
        <v/>
      </c>
      <c r="BJ15" s="81"/>
      <c r="BK15" s="81"/>
      <c r="BL15" s="81"/>
      <c r="BM15" s="81"/>
      <c r="BN15" s="81"/>
      <c r="BO15" s="96"/>
    </row>
    <row r="16" spans="1:67" ht="20.100000000000001" customHeight="1" x14ac:dyDescent="0.25">
      <c r="A16" s="35"/>
      <c r="B16" s="36"/>
      <c r="C16" s="36"/>
      <c r="D16" s="36"/>
      <c r="E16" s="36"/>
      <c r="F16" s="36"/>
      <c r="G16" s="36"/>
      <c r="H16" s="37"/>
      <c r="I16" s="41"/>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3"/>
      <c r="AT16" s="89"/>
      <c r="AU16" s="36"/>
      <c r="AV16" s="36"/>
      <c r="AW16" s="36"/>
      <c r="AX16" s="37"/>
      <c r="AY16" s="89"/>
      <c r="AZ16" s="36"/>
      <c r="BA16" s="36"/>
      <c r="BB16" s="36"/>
      <c r="BC16" s="37"/>
      <c r="BD16" s="39" t="str">
        <f t="shared" si="2"/>
        <v/>
      </c>
      <c r="BE16" s="39"/>
      <c r="BF16" s="39"/>
      <c r="BG16" s="39"/>
      <c r="BH16" s="39"/>
      <c r="BI16" s="80" t="str">
        <f t="shared" si="3"/>
        <v/>
      </c>
      <c r="BJ16" s="81"/>
      <c r="BK16" s="81"/>
      <c r="BL16" s="81"/>
      <c r="BM16" s="81"/>
      <c r="BN16" s="81"/>
      <c r="BO16" s="96"/>
    </row>
    <row r="17" spans="1:67" ht="20.100000000000001" customHeight="1" x14ac:dyDescent="0.25">
      <c r="A17" s="35"/>
      <c r="B17" s="36"/>
      <c r="C17" s="36"/>
      <c r="D17" s="36"/>
      <c r="E17" s="36"/>
      <c r="F17" s="36"/>
      <c r="G17" s="36"/>
      <c r="H17" s="37"/>
      <c r="I17" s="41"/>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3"/>
      <c r="AT17" s="89"/>
      <c r="AU17" s="36"/>
      <c r="AV17" s="36"/>
      <c r="AW17" s="36"/>
      <c r="AX17" s="37"/>
      <c r="AY17" s="89"/>
      <c r="AZ17" s="36"/>
      <c r="BA17" s="36"/>
      <c r="BB17" s="36"/>
      <c r="BC17" s="37"/>
      <c r="BD17" s="39" t="str">
        <f t="shared" si="2"/>
        <v/>
      </c>
      <c r="BE17" s="39"/>
      <c r="BF17" s="39"/>
      <c r="BG17" s="39"/>
      <c r="BH17" s="39"/>
      <c r="BI17" s="80" t="str">
        <f t="shared" si="3"/>
        <v/>
      </c>
      <c r="BJ17" s="81"/>
      <c r="BK17" s="81"/>
      <c r="BL17" s="81"/>
      <c r="BM17" s="81"/>
      <c r="BN17" s="81"/>
      <c r="BO17" s="96"/>
    </row>
    <row r="18" spans="1:67" ht="20.100000000000001" customHeight="1" x14ac:dyDescent="0.25">
      <c r="A18" s="35"/>
      <c r="B18" s="36"/>
      <c r="C18" s="36"/>
      <c r="D18" s="36"/>
      <c r="E18" s="36"/>
      <c r="F18" s="36"/>
      <c r="G18" s="36"/>
      <c r="H18" s="37"/>
      <c r="I18" s="41"/>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3"/>
      <c r="AT18" s="89"/>
      <c r="AU18" s="36"/>
      <c r="AV18" s="36"/>
      <c r="AW18" s="36"/>
      <c r="AX18" s="37"/>
      <c r="AY18" s="89"/>
      <c r="AZ18" s="36"/>
      <c r="BA18" s="36"/>
      <c r="BB18" s="36"/>
      <c r="BC18" s="37"/>
      <c r="BD18" s="39" t="str">
        <f t="shared" si="2"/>
        <v/>
      </c>
      <c r="BE18" s="39"/>
      <c r="BF18" s="39"/>
      <c r="BG18" s="39"/>
      <c r="BH18" s="39"/>
      <c r="BI18" s="80" t="str">
        <f t="shared" si="3"/>
        <v/>
      </c>
      <c r="BJ18" s="81"/>
      <c r="BK18" s="81"/>
      <c r="BL18" s="81"/>
      <c r="BM18" s="81"/>
      <c r="BN18" s="81"/>
      <c r="BO18" s="96"/>
    </row>
    <row r="19" spans="1:67" ht="20.100000000000001" customHeight="1" x14ac:dyDescent="0.25">
      <c r="A19" s="35"/>
      <c r="B19" s="36"/>
      <c r="C19" s="36"/>
      <c r="D19" s="36"/>
      <c r="E19" s="36"/>
      <c r="F19" s="36"/>
      <c r="G19" s="36"/>
      <c r="H19" s="37"/>
      <c r="I19" s="41"/>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3"/>
      <c r="AT19" s="89"/>
      <c r="AU19" s="36"/>
      <c r="AV19" s="36"/>
      <c r="AW19" s="36"/>
      <c r="AX19" s="37"/>
      <c r="AY19" s="89"/>
      <c r="AZ19" s="36"/>
      <c r="BA19" s="36"/>
      <c r="BB19" s="36"/>
      <c r="BC19" s="37"/>
      <c r="BD19" s="39" t="str">
        <f t="shared" si="2"/>
        <v/>
      </c>
      <c r="BE19" s="39"/>
      <c r="BF19" s="39"/>
      <c r="BG19" s="39"/>
      <c r="BH19" s="39"/>
      <c r="BI19" s="80" t="str">
        <f t="shared" si="3"/>
        <v/>
      </c>
      <c r="BJ19" s="81"/>
      <c r="BK19" s="81"/>
      <c r="BL19" s="81"/>
      <c r="BM19" s="81"/>
      <c r="BN19" s="81"/>
      <c r="BO19" s="96"/>
    </row>
    <row r="20" spans="1:67" ht="20.100000000000001" customHeight="1" x14ac:dyDescent="0.25">
      <c r="A20" s="35"/>
      <c r="B20" s="36"/>
      <c r="C20" s="36"/>
      <c r="D20" s="36"/>
      <c r="E20" s="36"/>
      <c r="F20" s="36"/>
      <c r="G20" s="36"/>
      <c r="H20" s="37"/>
      <c r="I20" s="41"/>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3"/>
      <c r="AT20" s="95"/>
      <c r="AU20" s="95"/>
      <c r="AV20" s="95"/>
      <c r="AW20" s="95"/>
      <c r="AX20" s="95"/>
      <c r="AY20" s="95"/>
      <c r="AZ20" s="95"/>
      <c r="BA20" s="95"/>
      <c r="BB20" s="95"/>
      <c r="BC20" s="95"/>
      <c r="BD20" s="39" t="str">
        <f t="shared" si="2"/>
        <v/>
      </c>
      <c r="BE20" s="39"/>
      <c r="BF20" s="39"/>
      <c r="BG20" s="39"/>
      <c r="BH20" s="39"/>
      <c r="BI20" s="80" t="str">
        <f t="shared" si="3"/>
        <v/>
      </c>
      <c r="BJ20" s="81"/>
      <c r="BK20" s="81"/>
      <c r="BL20" s="81"/>
      <c r="BM20" s="81"/>
      <c r="BN20" s="81"/>
      <c r="BO20" s="96"/>
    </row>
    <row r="21" spans="1:67" ht="20.100000000000001" customHeight="1" x14ac:dyDescent="0.25">
      <c r="A21" s="35"/>
      <c r="B21" s="36"/>
      <c r="C21" s="36"/>
      <c r="D21" s="36"/>
      <c r="E21" s="36"/>
      <c r="F21" s="36"/>
      <c r="G21" s="36"/>
      <c r="H21" s="37"/>
      <c r="I21" s="41"/>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3"/>
      <c r="AT21" s="38"/>
      <c r="AU21" s="38"/>
      <c r="AV21" s="38"/>
      <c r="AW21" s="38"/>
      <c r="AX21" s="38"/>
      <c r="AY21" s="38"/>
      <c r="AZ21" s="38"/>
      <c r="BA21" s="38"/>
      <c r="BB21" s="38"/>
      <c r="BC21" s="38"/>
      <c r="BD21" s="39" t="str">
        <f t="shared" si="2"/>
        <v/>
      </c>
      <c r="BE21" s="39"/>
      <c r="BF21" s="39"/>
      <c r="BG21" s="39"/>
      <c r="BH21" s="39"/>
      <c r="BI21" s="80" t="str">
        <f t="shared" si="3"/>
        <v/>
      </c>
      <c r="BJ21" s="81"/>
      <c r="BK21" s="81"/>
      <c r="BL21" s="81"/>
      <c r="BM21" s="81"/>
      <c r="BN21" s="81"/>
      <c r="BO21" s="96"/>
    </row>
    <row r="22" spans="1:67" ht="20.100000000000001" customHeight="1" x14ac:dyDescent="0.25">
      <c r="A22" s="35"/>
      <c r="B22" s="36"/>
      <c r="C22" s="36"/>
      <c r="D22" s="36"/>
      <c r="E22" s="36"/>
      <c r="F22" s="36"/>
      <c r="G22" s="36"/>
      <c r="H22" s="37"/>
      <c r="I22" s="41"/>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3"/>
      <c r="AT22" s="38"/>
      <c r="AU22" s="38"/>
      <c r="AV22" s="38"/>
      <c r="AW22" s="38"/>
      <c r="AX22" s="38"/>
      <c r="AY22" s="38"/>
      <c r="AZ22" s="38"/>
      <c r="BA22" s="38"/>
      <c r="BB22" s="38"/>
      <c r="BC22" s="38"/>
      <c r="BD22" s="80" t="str">
        <f t="shared" si="2"/>
        <v/>
      </c>
      <c r="BE22" s="81"/>
      <c r="BF22" s="81"/>
      <c r="BG22" s="81"/>
      <c r="BH22" s="82"/>
      <c r="BI22" s="80" t="str">
        <f t="shared" si="3"/>
        <v/>
      </c>
      <c r="BJ22" s="81"/>
      <c r="BK22" s="81"/>
      <c r="BL22" s="81"/>
      <c r="BM22" s="81"/>
      <c r="BN22" s="81"/>
      <c r="BO22" s="96"/>
    </row>
    <row r="23" spans="1:67" ht="20.100000000000001" customHeight="1" thickBot="1" x14ac:dyDescent="0.3">
      <c r="A23" s="74" t="s">
        <v>40</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6"/>
      <c r="BD23" s="84" t="str">
        <f>IFERROR(ROUND((SUM(BD11:BD22,BD38:BD41)-SUM(AT38:AT41))/(COUNTA(BD11:BD22)-COUNTBLANK(BD11:BD22)),0),"")</f>
        <v/>
      </c>
      <c r="BE23" s="85"/>
      <c r="BF23" s="85"/>
      <c r="BG23" s="85"/>
      <c r="BH23" s="86"/>
      <c r="BI23" s="84" t="str">
        <f>IF(BD23="","",IF(BD23&gt;=75,"PASSED","FAILED"))</f>
        <v/>
      </c>
      <c r="BJ23" s="85"/>
      <c r="BK23" s="85"/>
      <c r="BL23" s="85"/>
      <c r="BM23" s="85"/>
      <c r="BN23" s="85"/>
      <c r="BO23" s="87"/>
    </row>
    <row r="24" spans="1:67" ht="3" customHeight="1" x14ac:dyDescent="0.25">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44"/>
    </row>
    <row r="25" spans="1:67" x14ac:dyDescent="0.25">
      <c r="A25" s="46" t="s">
        <v>41</v>
      </c>
      <c r="B25" s="46"/>
      <c r="C25" s="46"/>
      <c r="D25" s="46"/>
      <c r="E25" s="46"/>
      <c r="F25" s="114"/>
      <c r="G25" s="114"/>
      <c r="H25" s="114"/>
      <c r="I25" s="114"/>
      <c r="J25" s="114"/>
      <c r="K25" s="114"/>
      <c r="L25" s="114"/>
      <c r="M25" s="114"/>
      <c r="N25" s="114"/>
      <c r="O25" s="114"/>
      <c r="P25" s="114"/>
      <c r="Q25" s="114"/>
      <c r="R25" s="114"/>
      <c r="S25" s="114"/>
      <c r="T25" s="114"/>
      <c r="U25" s="114"/>
      <c r="V25" s="114"/>
      <c r="W25" s="114"/>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4"/>
      <c r="AY25" s="114"/>
      <c r="AZ25" s="114"/>
      <c r="BA25" s="114"/>
      <c r="BB25" s="114"/>
      <c r="BC25" s="114"/>
      <c r="BD25" s="114"/>
      <c r="BE25" s="114"/>
      <c r="BF25" s="114"/>
      <c r="BG25" s="114"/>
      <c r="BH25" s="114"/>
      <c r="BI25" s="114"/>
      <c r="BJ25" s="114"/>
      <c r="BK25" s="114"/>
      <c r="BL25" s="114"/>
      <c r="BM25" s="114"/>
      <c r="BN25" s="114"/>
      <c r="BO25" s="114"/>
    </row>
    <row r="26" spans="1:67" ht="3" customHeight="1" x14ac:dyDescent="0.25">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row>
    <row r="27" spans="1:67" x14ac:dyDescent="0.25">
      <c r="A27" s="46" t="s">
        <v>76</v>
      </c>
      <c r="B27" s="46"/>
      <c r="C27" s="46"/>
      <c r="D27" s="46"/>
      <c r="E27" s="46"/>
      <c r="F27" s="3"/>
      <c r="G27" s="3"/>
      <c r="H27" s="3"/>
      <c r="I27" s="3"/>
      <c r="J27" s="3"/>
      <c r="K27" s="3"/>
      <c r="L27" s="3"/>
      <c r="M27" s="3"/>
      <c r="N27" s="3"/>
      <c r="O27" s="3"/>
      <c r="P27" s="3"/>
      <c r="Q27" s="3"/>
      <c r="R27" s="3"/>
      <c r="S27" s="3"/>
      <c r="T27" s="3"/>
      <c r="U27" s="3"/>
      <c r="V27" s="46" t="s">
        <v>78</v>
      </c>
      <c r="W27" s="46"/>
      <c r="X27" s="46"/>
      <c r="Y27" s="46"/>
      <c r="Z27" s="46"/>
      <c r="AA27" s="46"/>
      <c r="AB27" s="46"/>
      <c r="AC27" s="46"/>
      <c r="AD27" s="46"/>
      <c r="AE27" s="46"/>
      <c r="AF27" s="8"/>
      <c r="AG27" s="91"/>
      <c r="AH27" s="91"/>
      <c r="AI27" s="91"/>
      <c r="AJ27" s="91"/>
      <c r="AK27" s="91"/>
      <c r="AL27" s="91"/>
      <c r="AM27" s="91"/>
      <c r="AN27" s="91"/>
      <c r="AO27" s="91"/>
      <c r="AP27" s="91"/>
      <c r="AQ27" s="91"/>
      <c r="AR27" s="91"/>
      <c r="AS27" s="91"/>
      <c r="AT27" s="91"/>
      <c r="AU27" s="3"/>
      <c r="AV27" s="8"/>
      <c r="AW27" s="8"/>
      <c r="AX27" s="8"/>
      <c r="AY27" s="8"/>
      <c r="AZ27" s="8" t="s">
        <v>79</v>
      </c>
      <c r="BA27" s="8"/>
      <c r="BB27" s="8"/>
      <c r="BC27" s="8"/>
      <c r="BD27" s="8"/>
      <c r="BE27" s="8"/>
      <c r="BF27" s="8"/>
      <c r="BG27" s="3"/>
      <c r="BH27" s="3"/>
      <c r="BI27" s="3"/>
      <c r="BJ27" s="3"/>
      <c r="BK27" s="3"/>
      <c r="BL27" s="3"/>
      <c r="BM27" s="3"/>
      <c r="BN27" s="3"/>
      <c r="BO27" s="3"/>
    </row>
    <row r="28" spans="1:67" x14ac:dyDescent="0.25">
      <c r="A28" s="99"/>
      <c r="B28" s="99"/>
      <c r="C28" s="99"/>
      <c r="D28" s="99"/>
      <c r="E28" s="99"/>
      <c r="F28" s="99"/>
      <c r="G28" s="99"/>
      <c r="H28" s="99"/>
      <c r="I28" s="99"/>
      <c r="J28" s="99"/>
      <c r="K28" s="99"/>
      <c r="L28" s="99"/>
      <c r="M28" s="99"/>
      <c r="N28" s="99"/>
      <c r="O28" s="99"/>
      <c r="P28" s="99"/>
      <c r="Q28" s="99"/>
      <c r="R28" s="7"/>
      <c r="S28" s="7"/>
      <c r="T28" s="7"/>
      <c r="U28" s="7"/>
      <c r="V28" s="7"/>
      <c r="W28" s="7"/>
      <c r="X28" s="7"/>
      <c r="Y28" s="91"/>
      <c r="Z28" s="91"/>
      <c r="AA28" s="91"/>
      <c r="AB28" s="91"/>
      <c r="AC28" s="91"/>
      <c r="AD28" s="91"/>
      <c r="AE28" s="91"/>
      <c r="AF28" s="91"/>
      <c r="AG28" s="91"/>
      <c r="AH28" s="91"/>
      <c r="AI28" s="91"/>
      <c r="AJ28" s="91"/>
      <c r="AK28" s="91"/>
      <c r="AL28" s="91"/>
      <c r="AM28" s="91"/>
      <c r="AN28" s="91"/>
      <c r="AO28" s="91"/>
      <c r="AP28" s="7"/>
      <c r="AQ28" s="7"/>
      <c r="AR28" s="7"/>
      <c r="AS28" s="7"/>
      <c r="AT28" s="3"/>
      <c r="AU28" s="99"/>
      <c r="AV28" s="99"/>
      <c r="AW28" s="99"/>
      <c r="AX28" s="99"/>
      <c r="AY28" s="99"/>
      <c r="AZ28" s="99"/>
      <c r="BA28" s="99"/>
      <c r="BB28" s="99"/>
      <c r="BC28" s="99"/>
      <c r="BD28" s="99"/>
      <c r="BE28" s="3"/>
      <c r="BF28" s="3"/>
      <c r="BG28" s="3"/>
      <c r="BH28" s="3"/>
      <c r="BI28" s="3"/>
      <c r="BJ28" s="3"/>
      <c r="BK28" s="3"/>
      <c r="BL28" s="3"/>
      <c r="BM28" s="3"/>
      <c r="BN28" s="3"/>
      <c r="BO28" s="3"/>
    </row>
    <row r="29" spans="1:67" x14ac:dyDescent="0.25">
      <c r="A29" s="77"/>
      <c r="B29" s="77"/>
      <c r="C29" s="77"/>
      <c r="D29" s="77"/>
      <c r="E29" s="77"/>
      <c r="F29" s="77"/>
      <c r="G29" s="77"/>
      <c r="H29" s="77"/>
      <c r="I29" s="77"/>
      <c r="J29" s="77"/>
      <c r="K29" s="77"/>
      <c r="L29" s="77"/>
      <c r="M29" s="77"/>
      <c r="N29" s="77"/>
      <c r="O29" s="77"/>
      <c r="P29" s="77"/>
      <c r="Q29" s="77"/>
      <c r="R29" s="77"/>
      <c r="S29" s="77"/>
      <c r="T29" s="3"/>
      <c r="U29" s="3"/>
      <c r="V29" s="3"/>
      <c r="W29" s="3"/>
      <c r="X29" s="3"/>
      <c r="Y29" s="77"/>
      <c r="Z29" s="77"/>
      <c r="AA29" s="77"/>
      <c r="AB29" s="77"/>
      <c r="AC29" s="77"/>
      <c r="AD29" s="77"/>
      <c r="AE29" s="77"/>
      <c r="AF29" s="77"/>
      <c r="AG29" s="77"/>
      <c r="AH29" s="77"/>
      <c r="AI29" s="77"/>
      <c r="AJ29" s="77"/>
      <c r="AK29" s="77"/>
      <c r="AL29" s="77"/>
      <c r="AM29" s="77"/>
      <c r="AN29" s="77"/>
      <c r="AO29" s="77"/>
      <c r="AP29" s="77"/>
      <c r="AQ29" s="77"/>
      <c r="AR29" s="77"/>
      <c r="AS29" s="77"/>
      <c r="AT29" s="3"/>
      <c r="AU29" s="27"/>
      <c r="AV29" s="27"/>
      <c r="AW29" s="27"/>
      <c r="AX29" s="27"/>
      <c r="AY29" s="27"/>
      <c r="AZ29" s="78"/>
      <c r="BA29" s="78"/>
      <c r="BB29" s="78"/>
      <c r="BC29" s="78"/>
      <c r="BD29" s="78"/>
      <c r="BE29" s="78"/>
      <c r="BF29" s="78"/>
      <c r="BG29" s="78"/>
      <c r="BH29" s="78"/>
      <c r="BI29" s="78"/>
      <c r="BJ29" s="78"/>
      <c r="BK29" s="78"/>
      <c r="BL29" s="78"/>
      <c r="BM29" s="78"/>
      <c r="BN29" s="78"/>
      <c r="BO29" s="78"/>
    </row>
    <row r="30" spans="1:67" x14ac:dyDescent="0.25">
      <c r="A30" s="79" t="s">
        <v>77</v>
      </c>
      <c r="B30" s="79"/>
      <c r="C30" s="79"/>
      <c r="D30" s="79"/>
      <c r="E30" s="79"/>
      <c r="F30" s="79"/>
      <c r="G30" s="79"/>
      <c r="H30" s="79"/>
      <c r="I30" s="79"/>
      <c r="J30" s="79"/>
      <c r="K30" s="79"/>
      <c r="L30" s="79"/>
      <c r="M30" s="79"/>
      <c r="N30" s="79"/>
      <c r="O30" s="79"/>
      <c r="P30" s="79"/>
      <c r="Q30" s="79"/>
      <c r="R30" s="79"/>
      <c r="S30" s="79"/>
      <c r="T30" s="7"/>
      <c r="U30" s="7"/>
      <c r="V30" s="3"/>
      <c r="W30" s="3"/>
      <c r="X30" s="3"/>
      <c r="Y30" s="79" t="s">
        <v>86</v>
      </c>
      <c r="Z30" s="79"/>
      <c r="AA30" s="79"/>
      <c r="AB30" s="79"/>
      <c r="AC30" s="79"/>
      <c r="AD30" s="79"/>
      <c r="AE30" s="79"/>
      <c r="AF30" s="79"/>
      <c r="AG30" s="79"/>
      <c r="AH30" s="79"/>
      <c r="AI30" s="79"/>
      <c r="AJ30" s="79"/>
      <c r="AK30" s="79"/>
      <c r="AL30" s="79"/>
      <c r="AM30" s="79"/>
      <c r="AN30" s="79"/>
      <c r="AO30" s="79"/>
      <c r="AP30" s="79"/>
      <c r="AQ30" s="79"/>
      <c r="AR30" s="79"/>
      <c r="AS30" s="79"/>
      <c r="AT30" s="3"/>
      <c r="AU30" s="3"/>
      <c r="AV30" s="3"/>
      <c r="AW30" s="3"/>
      <c r="AX30" s="3"/>
      <c r="AY30" s="3"/>
      <c r="AZ30" s="3"/>
      <c r="BA30" s="3"/>
      <c r="BB30" s="3"/>
      <c r="BC30" s="3"/>
      <c r="BD30" s="3"/>
      <c r="BE30" s="3"/>
      <c r="BF30" s="3"/>
      <c r="BG30" s="3"/>
      <c r="BH30" s="3"/>
      <c r="BI30" s="3"/>
      <c r="BJ30" s="3"/>
      <c r="BK30" s="3"/>
      <c r="BL30" s="3"/>
      <c r="BM30" s="3"/>
      <c r="BN30" s="3"/>
      <c r="BO30" s="3"/>
    </row>
    <row r="31" spans="1:67" ht="9" customHeight="1" x14ac:dyDescent="0.25">
      <c r="A31" s="99"/>
      <c r="B31" s="99"/>
      <c r="C31" s="99"/>
      <c r="D31" s="99"/>
      <c r="E31" s="99"/>
      <c r="F31" s="99"/>
      <c r="G31" s="99"/>
      <c r="H31" s="99"/>
      <c r="I31" s="99"/>
      <c r="J31" s="99"/>
      <c r="K31" s="99"/>
      <c r="L31" s="99"/>
      <c r="M31" s="99"/>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c r="AZ31" s="99"/>
      <c r="BA31" s="99"/>
      <c r="BB31" s="99"/>
      <c r="BC31" s="99"/>
      <c r="BD31" s="99"/>
      <c r="BE31" s="99"/>
      <c r="BF31" s="99"/>
      <c r="BG31" s="99"/>
      <c r="BH31" s="99"/>
      <c r="BI31" s="99"/>
      <c r="BJ31" s="99"/>
      <c r="BK31" s="99"/>
      <c r="BL31" s="99"/>
      <c r="BM31" s="99"/>
      <c r="BN31" s="99"/>
      <c r="BO31" s="99"/>
    </row>
    <row r="32" spans="1:67" x14ac:dyDescent="0.25">
      <c r="A32" s="46" t="s">
        <v>43</v>
      </c>
      <c r="B32" s="46"/>
      <c r="C32" s="46"/>
      <c r="D32" s="46"/>
      <c r="E32" s="46"/>
      <c r="F32" s="46"/>
      <c r="G32" s="70" t="s">
        <v>101</v>
      </c>
      <c r="H32" s="70"/>
      <c r="I32" s="70"/>
      <c r="J32" s="70"/>
      <c r="K32" s="70"/>
      <c r="L32" s="70"/>
      <c r="M32" s="70"/>
      <c r="N32" s="70"/>
      <c r="O32" s="70"/>
      <c r="P32" s="70"/>
      <c r="Q32" s="70"/>
      <c r="R32" s="70"/>
      <c r="S32" s="128"/>
      <c r="T32" s="128"/>
      <c r="U32" s="128"/>
      <c r="V32" s="128"/>
      <c r="W32" s="70" t="s">
        <v>100</v>
      </c>
      <c r="X32" s="70"/>
      <c r="Y32" s="70"/>
      <c r="Z32" s="70"/>
      <c r="AA32" s="70"/>
      <c r="AB32" s="70"/>
      <c r="AC32" s="128"/>
      <c r="AD32" s="128"/>
      <c r="AE32" s="128"/>
      <c r="AF32" s="128"/>
      <c r="AG32" s="3"/>
      <c r="AH32" s="70" t="s">
        <v>35</v>
      </c>
      <c r="AI32" s="70"/>
      <c r="AJ32" s="70"/>
      <c r="AK32" s="70"/>
      <c r="AL32" s="83"/>
      <c r="AM32" s="83"/>
      <c r="AN32" s="83"/>
      <c r="AO32" s="83"/>
      <c r="AP32" s="83"/>
      <c r="AQ32" s="83"/>
      <c r="AR32" s="83"/>
      <c r="AS32" s="83"/>
      <c r="AT32" s="83"/>
      <c r="AU32" s="83"/>
      <c r="AV32" s="83"/>
      <c r="AW32" s="83"/>
      <c r="AX32" s="83"/>
      <c r="AY32" s="83"/>
      <c r="AZ32" s="83"/>
      <c r="BA32" s="83"/>
      <c r="BB32" s="83"/>
      <c r="BC32" s="83"/>
      <c r="BD32" s="83"/>
      <c r="BE32" s="83"/>
      <c r="BF32" s="45" t="s">
        <v>44</v>
      </c>
      <c r="BG32" s="45"/>
      <c r="BH32" s="45"/>
      <c r="BI32" s="45"/>
      <c r="BJ32" s="45"/>
      <c r="BK32" s="129"/>
      <c r="BL32" s="129"/>
      <c r="BM32" s="129"/>
      <c r="BN32" s="129"/>
      <c r="BO32" s="129"/>
    </row>
    <row r="33" spans="1:67" ht="3" customHeight="1" thickBot="1" x14ac:dyDescent="0.3">
      <c r="A33" s="100"/>
      <c r="B33" s="100"/>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c r="AL33" s="100"/>
      <c r="AM33" s="100"/>
      <c r="AN33" s="100"/>
      <c r="AO33" s="100"/>
      <c r="AP33" s="100"/>
      <c r="AQ33" s="100"/>
      <c r="AR33" s="100"/>
      <c r="AS33" s="100"/>
      <c r="AT33" s="100"/>
      <c r="AU33" s="100"/>
      <c r="AV33" s="100"/>
      <c r="AW33" s="100"/>
      <c r="AX33" s="100"/>
      <c r="AY33" s="100"/>
      <c r="AZ33" s="100"/>
      <c r="BA33" s="100"/>
      <c r="BB33" s="100"/>
      <c r="BC33" s="100"/>
      <c r="BD33" s="100"/>
      <c r="BE33" s="100"/>
      <c r="BF33" s="100"/>
      <c r="BG33" s="100"/>
      <c r="BH33" s="100"/>
      <c r="BI33" s="100"/>
      <c r="BJ33" s="100"/>
      <c r="BK33" s="100"/>
      <c r="BL33" s="100"/>
      <c r="BM33" s="100"/>
      <c r="BN33" s="100"/>
      <c r="BO33" s="100"/>
    </row>
    <row r="34" spans="1:67" ht="11.25" customHeight="1" x14ac:dyDescent="0.25">
      <c r="A34" s="52" t="s">
        <v>69</v>
      </c>
      <c r="B34" s="53"/>
      <c r="C34" s="53"/>
      <c r="D34" s="53"/>
      <c r="E34" s="53"/>
      <c r="F34" s="53"/>
      <c r="G34" s="53"/>
      <c r="H34" s="54"/>
      <c r="I34" s="61" t="s">
        <v>97</v>
      </c>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3"/>
      <c r="AT34" s="115" t="s">
        <v>39</v>
      </c>
      <c r="AU34" s="53"/>
      <c r="AV34" s="53"/>
      <c r="AW34" s="53"/>
      <c r="AX34" s="54"/>
      <c r="AY34" s="53" t="s">
        <v>45</v>
      </c>
      <c r="AZ34" s="53"/>
      <c r="BA34" s="53"/>
      <c r="BB34" s="53"/>
      <c r="BC34" s="54"/>
      <c r="BD34" s="47" t="s">
        <v>46</v>
      </c>
      <c r="BE34" s="47"/>
      <c r="BF34" s="47"/>
      <c r="BG34" s="47"/>
      <c r="BH34" s="47"/>
      <c r="BI34" s="47" t="s">
        <v>2</v>
      </c>
      <c r="BJ34" s="47"/>
      <c r="BK34" s="47"/>
      <c r="BL34" s="47"/>
      <c r="BM34" s="47"/>
      <c r="BN34" s="47"/>
      <c r="BO34" s="49"/>
    </row>
    <row r="35" spans="1:67" ht="11.25" customHeight="1" x14ac:dyDescent="0.25">
      <c r="A35" s="55"/>
      <c r="B35" s="56"/>
      <c r="C35" s="56"/>
      <c r="D35" s="56"/>
      <c r="E35" s="56"/>
      <c r="F35" s="56"/>
      <c r="G35" s="56"/>
      <c r="H35" s="57"/>
      <c r="I35" s="64"/>
      <c r="J35" s="65"/>
      <c r="K35" s="65"/>
      <c r="L35" s="65"/>
      <c r="M35" s="65"/>
      <c r="N35" s="65"/>
      <c r="O35" s="65"/>
      <c r="P35" s="65"/>
      <c r="Q35" s="6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6"/>
      <c r="AT35" s="116"/>
      <c r="AU35" s="56"/>
      <c r="AV35" s="56"/>
      <c r="AW35" s="56"/>
      <c r="AX35" s="57"/>
      <c r="AY35" s="56"/>
      <c r="AZ35" s="56"/>
      <c r="BA35" s="56"/>
      <c r="BB35" s="56"/>
      <c r="BC35" s="57"/>
      <c r="BD35" s="48"/>
      <c r="BE35" s="48"/>
      <c r="BF35" s="48"/>
      <c r="BG35" s="48"/>
      <c r="BH35" s="48"/>
      <c r="BI35" s="48"/>
      <c r="BJ35" s="48"/>
      <c r="BK35" s="48"/>
      <c r="BL35" s="48"/>
      <c r="BM35" s="48"/>
      <c r="BN35" s="48"/>
      <c r="BO35" s="50"/>
    </row>
    <row r="36" spans="1:67" ht="11.25" customHeight="1" x14ac:dyDescent="0.25">
      <c r="A36" s="55"/>
      <c r="B36" s="56"/>
      <c r="C36" s="56"/>
      <c r="D36" s="56"/>
      <c r="E36" s="56"/>
      <c r="F36" s="56"/>
      <c r="G36" s="56"/>
      <c r="H36" s="57"/>
      <c r="I36" s="64"/>
      <c r="J36" s="65"/>
      <c r="K36" s="65"/>
      <c r="L36" s="65"/>
      <c r="M36" s="65"/>
      <c r="N36" s="65"/>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6"/>
      <c r="AT36" s="116"/>
      <c r="AU36" s="56"/>
      <c r="AV36" s="56"/>
      <c r="AW36" s="56"/>
      <c r="AX36" s="57"/>
      <c r="AY36" s="56"/>
      <c r="AZ36" s="56"/>
      <c r="BA36" s="56"/>
      <c r="BB36" s="56"/>
      <c r="BC36" s="57"/>
      <c r="BD36" s="48"/>
      <c r="BE36" s="48"/>
      <c r="BF36" s="48"/>
      <c r="BG36" s="48"/>
      <c r="BH36" s="48"/>
      <c r="BI36" s="48"/>
      <c r="BJ36" s="48"/>
      <c r="BK36" s="48"/>
      <c r="BL36" s="48"/>
      <c r="BM36" s="48"/>
      <c r="BN36" s="48"/>
      <c r="BO36" s="50"/>
    </row>
    <row r="37" spans="1:67" ht="11.25" customHeight="1" x14ac:dyDescent="0.25">
      <c r="A37" s="58"/>
      <c r="B37" s="59"/>
      <c r="C37" s="59"/>
      <c r="D37" s="59"/>
      <c r="E37" s="59"/>
      <c r="F37" s="59"/>
      <c r="G37" s="59"/>
      <c r="H37" s="60"/>
      <c r="I37" s="67"/>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9"/>
      <c r="AT37" s="117"/>
      <c r="AU37" s="59"/>
      <c r="AV37" s="59"/>
      <c r="AW37" s="59"/>
      <c r="AX37" s="60"/>
      <c r="AY37" s="59"/>
      <c r="AZ37" s="59"/>
      <c r="BA37" s="59"/>
      <c r="BB37" s="59"/>
      <c r="BC37" s="60"/>
      <c r="BD37" s="48"/>
      <c r="BE37" s="48"/>
      <c r="BF37" s="48"/>
      <c r="BG37" s="48"/>
      <c r="BH37" s="48"/>
      <c r="BI37" s="48"/>
      <c r="BJ37" s="48"/>
      <c r="BK37" s="48"/>
      <c r="BL37" s="48"/>
      <c r="BM37" s="48"/>
      <c r="BN37" s="48"/>
      <c r="BO37" s="50"/>
    </row>
    <row r="38" spans="1:67" ht="20.100000000000001" customHeight="1" x14ac:dyDescent="0.25">
      <c r="A38" s="35"/>
      <c r="B38" s="36"/>
      <c r="C38" s="36"/>
      <c r="D38" s="36"/>
      <c r="E38" s="36"/>
      <c r="F38" s="36"/>
      <c r="G38" s="36"/>
      <c r="H38" s="37"/>
      <c r="I38" s="41"/>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3"/>
      <c r="AT38" s="38"/>
      <c r="AU38" s="38"/>
      <c r="AV38" s="38"/>
      <c r="AW38" s="38"/>
      <c r="AX38" s="38"/>
      <c r="AY38" s="38"/>
      <c r="AZ38" s="38"/>
      <c r="BA38" s="38"/>
      <c r="BB38" s="38"/>
      <c r="BC38" s="38"/>
      <c r="BD38" s="39" t="str">
        <f t="shared" ref="BD38:BD41" si="4">IF(OR(AT38="",AY38=""),"",IF(ISERROR(ROUND(AVERAGE(AT38,AY38),0)),"",ROUND(AVERAGE(AT38,AY38),0)))</f>
        <v/>
      </c>
      <c r="BE38" s="39"/>
      <c r="BF38" s="39"/>
      <c r="BG38" s="39"/>
      <c r="BH38" s="39"/>
      <c r="BI38" s="39" t="str">
        <f t="shared" ref="BI38:BI41" si="5">IF(OR(AT38="",AY38="",BD38=""),"",IF(BD38&gt;=75,"PASSED","FAILED"))</f>
        <v/>
      </c>
      <c r="BJ38" s="39"/>
      <c r="BK38" s="39"/>
      <c r="BL38" s="39"/>
      <c r="BM38" s="39"/>
      <c r="BN38" s="39"/>
      <c r="BO38" s="40"/>
    </row>
    <row r="39" spans="1:67" ht="20.100000000000001" customHeight="1" x14ac:dyDescent="0.25">
      <c r="A39" s="35"/>
      <c r="B39" s="36"/>
      <c r="C39" s="36"/>
      <c r="D39" s="36"/>
      <c r="E39" s="36"/>
      <c r="F39" s="36"/>
      <c r="G39" s="36"/>
      <c r="H39" s="37"/>
      <c r="I39" s="41"/>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3"/>
      <c r="AT39" s="38"/>
      <c r="AU39" s="38"/>
      <c r="AV39" s="38"/>
      <c r="AW39" s="38"/>
      <c r="AX39" s="38"/>
      <c r="AY39" s="38"/>
      <c r="AZ39" s="38"/>
      <c r="BA39" s="38"/>
      <c r="BB39" s="38"/>
      <c r="BC39" s="38"/>
      <c r="BD39" s="39" t="str">
        <f t="shared" si="4"/>
        <v/>
      </c>
      <c r="BE39" s="39"/>
      <c r="BF39" s="39"/>
      <c r="BG39" s="39"/>
      <c r="BH39" s="39"/>
      <c r="BI39" s="39" t="str">
        <f t="shared" si="5"/>
        <v/>
      </c>
      <c r="BJ39" s="39"/>
      <c r="BK39" s="39"/>
      <c r="BL39" s="39"/>
      <c r="BM39" s="39"/>
      <c r="BN39" s="39"/>
      <c r="BO39" s="40"/>
    </row>
    <row r="40" spans="1:67" ht="20.100000000000001" customHeight="1" x14ac:dyDescent="0.25">
      <c r="A40" s="35"/>
      <c r="B40" s="36"/>
      <c r="C40" s="36"/>
      <c r="D40" s="36"/>
      <c r="E40" s="36"/>
      <c r="F40" s="36"/>
      <c r="G40" s="36"/>
      <c r="H40" s="37"/>
      <c r="I40" s="41"/>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3"/>
      <c r="AT40" s="38"/>
      <c r="AU40" s="38"/>
      <c r="AV40" s="38"/>
      <c r="AW40" s="38"/>
      <c r="AX40" s="38"/>
      <c r="AY40" s="38"/>
      <c r="AZ40" s="38"/>
      <c r="BA40" s="38"/>
      <c r="BB40" s="38"/>
      <c r="BC40" s="38"/>
      <c r="BD40" s="39" t="str">
        <f t="shared" si="4"/>
        <v/>
      </c>
      <c r="BE40" s="39"/>
      <c r="BF40" s="39"/>
      <c r="BG40" s="39"/>
      <c r="BH40" s="39"/>
      <c r="BI40" s="39" t="str">
        <f t="shared" si="5"/>
        <v/>
      </c>
      <c r="BJ40" s="39"/>
      <c r="BK40" s="39"/>
      <c r="BL40" s="39"/>
      <c r="BM40" s="39"/>
      <c r="BN40" s="39"/>
      <c r="BO40" s="40"/>
    </row>
    <row r="41" spans="1:67" ht="20.100000000000001" customHeight="1" thickBot="1" x14ac:dyDescent="0.3">
      <c r="A41" s="108"/>
      <c r="B41" s="109"/>
      <c r="C41" s="109"/>
      <c r="D41" s="109"/>
      <c r="E41" s="109"/>
      <c r="F41" s="109"/>
      <c r="G41" s="109"/>
      <c r="H41" s="110"/>
      <c r="I41" s="92"/>
      <c r="J41" s="93"/>
      <c r="K41" s="93"/>
      <c r="L41" s="93"/>
      <c r="M41" s="93"/>
      <c r="N41" s="93"/>
      <c r="O41" s="93"/>
      <c r="P41" s="93"/>
      <c r="Q41" s="93"/>
      <c r="R41" s="93"/>
      <c r="S41" s="93"/>
      <c r="T41" s="93"/>
      <c r="U41" s="93"/>
      <c r="V41" s="93"/>
      <c r="W41" s="93"/>
      <c r="X41" s="93"/>
      <c r="Y41" s="93"/>
      <c r="Z41" s="93"/>
      <c r="AA41" s="93"/>
      <c r="AB41" s="93"/>
      <c r="AC41" s="93"/>
      <c r="AD41" s="93"/>
      <c r="AE41" s="93"/>
      <c r="AF41" s="93"/>
      <c r="AG41" s="93"/>
      <c r="AH41" s="93"/>
      <c r="AI41" s="93"/>
      <c r="AJ41" s="93"/>
      <c r="AK41" s="93"/>
      <c r="AL41" s="93"/>
      <c r="AM41" s="93"/>
      <c r="AN41" s="93"/>
      <c r="AO41" s="93"/>
      <c r="AP41" s="93"/>
      <c r="AQ41" s="93"/>
      <c r="AR41" s="93"/>
      <c r="AS41" s="94"/>
      <c r="AT41" s="111"/>
      <c r="AU41" s="111"/>
      <c r="AV41" s="111"/>
      <c r="AW41" s="111"/>
      <c r="AX41" s="111"/>
      <c r="AY41" s="111"/>
      <c r="AZ41" s="111"/>
      <c r="BA41" s="111"/>
      <c r="BB41" s="111"/>
      <c r="BC41" s="111"/>
      <c r="BD41" s="112" t="str">
        <f t="shared" si="4"/>
        <v/>
      </c>
      <c r="BE41" s="112"/>
      <c r="BF41" s="112"/>
      <c r="BG41" s="112"/>
      <c r="BH41" s="112"/>
      <c r="BI41" s="112" t="str">
        <f t="shared" si="5"/>
        <v/>
      </c>
      <c r="BJ41" s="112"/>
      <c r="BK41" s="112"/>
      <c r="BL41" s="112"/>
      <c r="BM41" s="112"/>
      <c r="BN41" s="112"/>
      <c r="BO41" s="113"/>
    </row>
    <row r="42" spans="1:67" ht="3" customHeight="1" x14ac:dyDescent="0.25">
      <c r="A42" s="118"/>
      <c r="B42" s="118"/>
      <c r="C42" s="118"/>
      <c r="D42" s="118"/>
      <c r="E42" s="118"/>
      <c r="F42" s="118"/>
      <c r="G42" s="118"/>
      <c r="H42" s="118"/>
      <c r="I42" s="118"/>
      <c r="J42" s="118"/>
      <c r="K42" s="118"/>
      <c r="L42" s="118"/>
      <c r="M42" s="118"/>
      <c r="N42" s="118"/>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row>
    <row r="43" spans="1:67" ht="22.35" customHeight="1" x14ac:dyDescent="0.25">
      <c r="A43" s="101" t="s">
        <v>42</v>
      </c>
      <c r="B43" s="101"/>
      <c r="C43" s="101"/>
      <c r="D43" s="101"/>
      <c r="E43" s="101"/>
      <c r="F43" s="101"/>
      <c r="G43" s="101"/>
      <c r="H43" s="101"/>
      <c r="I43" s="101"/>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c r="AN43" s="73"/>
      <c r="AO43" s="73"/>
      <c r="AP43" s="73"/>
      <c r="AQ43" s="73"/>
      <c r="AR43" s="73"/>
      <c r="AS43" s="73"/>
      <c r="AT43" s="102" t="s">
        <v>8</v>
      </c>
      <c r="AU43" s="102"/>
      <c r="AV43" s="102"/>
      <c r="AW43" s="102"/>
      <c r="AX43" s="102"/>
      <c r="AY43" s="114"/>
      <c r="AZ43" s="114"/>
      <c r="BA43" s="114"/>
      <c r="BB43" s="114"/>
      <c r="BC43" s="114"/>
      <c r="BD43" s="114"/>
      <c r="BE43" s="114"/>
      <c r="BF43" s="114"/>
      <c r="BG43" s="114"/>
      <c r="BH43" s="114"/>
      <c r="BI43" s="114"/>
      <c r="BJ43" s="114"/>
      <c r="BK43" s="114"/>
      <c r="BL43" s="114"/>
      <c r="BM43" s="114"/>
      <c r="BN43" s="114"/>
      <c r="BO43" s="114"/>
    </row>
    <row r="44" spans="1:67" ht="12" customHeight="1" x14ac:dyDescent="0.25">
      <c r="A44" s="99"/>
      <c r="B44" s="99"/>
      <c r="C44" s="99"/>
      <c r="D44" s="99"/>
      <c r="E44" s="99"/>
      <c r="F44" s="99"/>
      <c r="G44" s="99"/>
      <c r="H44" s="99"/>
      <c r="I44" s="99"/>
      <c r="J44" s="99"/>
      <c r="K44" s="99"/>
      <c r="L44" s="99"/>
      <c r="M44" s="99"/>
      <c r="N44" s="99"/>
      <c r="O44" s="99"/>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c r="AU44" s="99"/>
      <c r="AV44" s="99"/>
      <c r="AW44" s="99"/>
      <c r="AX44" s="99"/>
      <c r="AY44" s="99"/>
      <c r="AZ44" s="99"/>
      <c r="BA44" s="99"/>
      <c r="BB44" s="99"/>
      <c r="BC44" s="99"/>
      <c r="BD44" s="99"/>
      <c r="BE44" s="99"/>
      <c r="BF44" s="99"/>
      <c r="BG44" s="99"/>
      <c r="BH44" s="99"/>
      <c r="BI44" s="99"/>
      <c r="BJ44" s="99"/>
      <c r="BK44" s="99"/>
      <c r="BL44" s="99"/>
      <c r="BM44" s="99"/>
      <c r="BN44" s="99"/>
      <c r="BO44" s="99"/>
    </row>
    <row r="45" spans="1:67" ht="12" customHeight="1" x14ac:dyDescent="0.25">
      <c r="A45" s="99"/>
      <c r="B45" s="99"/>
      <c r="C45" s="99"/>
      <c r="D45" s="99"/>
      <c r="E45" s="99"/>
      <c r="F45" s="99"/>
      <c r="G45" s="99"/>
      <c r="H45" s="99"/>
      <c r="I45" s="99"/>
      <c r="J45" s="99"/>
      <c r="K45" s="99"/>
      <c r="L45" s="99"/>
      <c r="M45" s="99"/>
      <c r="N45" s="99"/>
      <c r="O45" s="99"/>
      <c r="P45" s="99"/>
      <c r="Q45" s="99"/>
      <c r="R45" s="99"/>
      <c r="S45" s="99"/>
      <c r="T45" s="99"/>
      <c r="U45" s="99"/>
      <c r="V45" s="99"/>
      <c r="W45" s="99"/>
      <c r="X45" s="99"/>
      <c r="Y45" s="99"/>
      <c r="Z45" s="99"/>
      <c r="AA45" s="99"/>
      <c r="AB45" s="99"/>
      <c r="AC45" s="99"/>
      <c r="AD45" s="99"/>
      <c r="AE45" s="99"/>
      <c r="AF45" s="99"/>
      <c r="AG45" s="99"/>
      <c r="AH45" s="99"/>
      <c r="AI45" s="99"/>
      <c r="AJ45" s="99"/>
      <c r="AK45" s="99"/>
      <c r="AL45" s="99"/>
      <c r="AM45" s="99"/>
      <c r="AN45" s="99"/>
      <c r="AO45" s="99"/>
      <c r="AP45" s="99"/>
      <c r="AQ45" s="99"/>
      <c r="AR45" s="99"/>
      <c r="AS45" s="99"/>
      <c r="AT45" s="99"/>
      <c r="AU45" s="99"/>
      <c r="AV45" s="99"/>
      <c r="AW45" s="99"/>
      <c r="AX45" s="99"/>
      <c r="AY45" s="99"/>
      <c r="AZ45" s="99"/>
      <c r="BA45" s="99"/>
      <c r="BB45" s="99"/>
      <c r="BC45" s="99"/>
      <c r="BD45" s="99"/>
      <c r="BE45" s="99"/>
      <c r="BF45" s="99"/>
      <c r="BG45" s="99"/>
      <c r="BH45" s="99"/>
      <c r="BI45" s="99"/>
      <c r="BJ45" s="99"/>
      <c r="BK45" s="99"/>
      <c r="BL45" s="99"/>
      <c r="BM45" s="99"/>
      <c r="BN45" s="99"/>
      <c r="BO45" s="99"/>
    </row>
    <row r="46" spans="1:67" x14ac:dyDescent="0.25">
      <c r="A46" s="45" t="s">
        <v>35</v>
      </c>
      <c r="B46" s="45"/>
      <c r="C46" s="45"/>
      <c r="D46" s="45"/>
      <c r="E46" s="73"/>
      <c r="F46" s="73"/>
      <c r="G46" s="73"/>
      <c r="H46" s="73"/>
      <c r="I46" s="73"/>
      <c r="J46" s="73"/>
      <c r="K46" s="73"/>
      <c r="L46" s="73"/>
      <c r="M46" s="73"/>
      <c r="N46" s="73"/>
      <c r="O46" s="73"/>
      <c r="P46" s="73"/>
      <c r="Q46" s="73"/>
      <c r="R46" s="73"/>
      <c r="S46" s="73"/>
      <c r="T46" s="73"/>
      <c r="U46" s="73"/>
      <c r="V46" s="73"/>
      <c r="W46" s="73"/>
      <c r="X46" s="73"/>
      <c r="Y46" s="73"/>
      <c r="Z46" s="73"/>
      <c r="AA46" s="73"/>
      <c r="AB46" s="70" t="s">
        <v>44</v>
      </c>
      <c r="AC46" s="70"/>
      <c r="AD46" s="70"/>
      <c r="AE46" s="70"/>
      <c r="AF46" s="73"/>
      <c r="AG46" s="73"/>
      <c r="AH46" s="73"/>
      <c r="AI46" s="73"/>
      <c r="AJ46" s="73"/>
      <c r="AK46" s="73"/>
      <c r="AL46" s="73"/>
      <c r="AM46" s="45" t="s">
        <v>36</v>
      </c>
      <c r="AN46" s="45"/>
      <c r="AO46" s="45"/>
      <c r="AP46" s="45"/>
      <c r="AQ46" s="45"/>
      <c r="AR46" s="45"/>
      <c r="AS46" s="73"/>
      <c r="AT46" s="73"/>
      <c r="AU46" s="73"/>
      <c r="AV46" s="73"/>
      <c r="AW46" s="73"/>
      <c r="AX46" s="73"/>
      <c r="AY46" s="45" t="s">
        <v>3</v>
      </c>
      <c r="AZ46" s="45"/>
      <c r="BA46" s="73"/>
      <c r="BB46" s="73"/>
      <c r="BC46" s="73"/>
      <c r="BD46" s="73"/>
      <c r="BE46" s="73"/>
      <c r="BF46" s="73"/>
      <c r="BG46" s="73"/>
      <c r="BH46" s="70" t="s">
        <v>4</v>
      </c>
      <c r="BI46" s="70"/>
      <c r="BJ46" s="70"/>
      <c r="BK46" s="73"/>
      <c r="BL46" s="73"/>
      <c r="BM46" s="73"/>
      <c r="BN46" s="73"/>
      <c r="BO46" s="73"/>
    </row>
    <row r="47" spans="1:67" ht="3" customHeight="1" x14ac:dyDescent="0.25">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row>
    <row r="48" spans="1:67" x14ac:dyDescent="0.25">
      <c r="A48" s="45" t="s">
        <v>38</v>
      </c>
      <c r="B48" s="45"/>
      <c r="C48" s="45"/>
      <c r="D48" s="45"/>
      <c r="E48" s="45"/>
      <c r="F48" s="45"/>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73"/>
      <c r="AJ48" s="73"/>
      <c r="AK48" s="73"/>
      <c r="AL48" s="73"/>
      <c r="AM48" s="73"/>
      <c r="AN48" s="70" t="s">
        <v>5</v>
      </c>
      <c r="AO48" s="70"/>
      <c r="AP48" s="70"/>
      <c r="AQ48" s="70"/>
      <c r="AR48" s="70"/>
      <c r="AS48" s="73"/>
      <c r="AT48" s="73"/>
      <c r="AU48" s="73"/>
      <c r="AV48" s="73"/>
      <c r="AW48" s="73"/>
      <c r="AX48" s="73"/>
      <c r="AY48" s="73"/>
      <c r="AZ48" s="73"/>
      <c r="BA48" s="73"/>
      <c r="BB48" s="73"/>
      <c r="BC48" s="73"/>
      <c r="BD48" s="73"/>
      <c r="BE48" s="73"/>
      <c r="BF48" s="73"/>
      <c r="BG48" s="73"/>
      <c r="BH48" s="73"/>
      <c r="BI48" s="73"/>
      <c r="BJ48" s="73"/>
      <c r="BK48" s="73"/>
      <c r="BL48" s="73"/>
      <c r="BM48" s="73"/>
      <c r="BN48" s="73"/>
      <c r="BO48" s="73"/>
    </row>
    <row r="49" spans="1:67" ht="3" customHeight="1" thickBot="1" x14ac:dyDescent="0.3">
      <c r="A49" s="100"/>
      <c r="B49" s="100"/>
      <c r="C49" s="100"/>
      <c r="D49" s="100"/>
      <c r="E49" s="100"/>
      <c r="F49" s="100"/>
      <c r="G49" s="100"/>
      <c r="H49" s="100"/>
      <c r="I49" s="100"/>
      <c r="J49" s="100"/>
      <c r="K49" s="100"/>
      <c r="L49" s="100"/>
      <c r="M49" s="100"/>
      <c r="N49" s="100"/>
      <c r="O49" s="100"/>
      <c r="P49" s="100"/>
      <c r="Q49" s="100"/>
      <c r="R49" s="100"/>
      <c r="S49" s="100"/>
      <c r="T49" s="100"/>
      <c r="U49" s="100"/>
      <c r="V49" s="100"/>
      <c r="W49" s="100"/>
      <c r="X49" s="100"/>
      <c r="Y49" s="100"/>
      <c r="Z49" s="100"/>
      <c r="AA49" s="100"/>
      <c r="AB49" s="100"/>
      <c r="AC49" s="100"/>
      <c r="AD49" s="100"/>
      <c r="AE49" s="100"/>
      <c r="AF49" s="100"/>
      <c r="AG49" s="100"/>
      <c r="AH49" s="100"/>
      <c r="AI49" s="100"/>
      <c r="AJ49" s="100"/>
      <c r="AK49" s="100"/>
      <c r="AL49" s="100"/>
      <c r="AM49" s="100"/>
      <c r="AN49" s="100"/>
      <c r="AO49" s="100"/>
      <c r="AP49" s="100"/>
      <c r="AQ49" s="100"/>
      <c r="AR49" s="100"/>
      <c r="AS49" s="100"/>
      <c r="AT49" s="100"/>
      <c r="AU49" s="100"/>
      <c r="AV49" s="100"/>
      <c r="AW49" s="100"/>
      <c r="AX49" s="100"/>
      <c r="AY49" s="100"/>
      <c r="AZ49" s="100"/>
      <c r="BA49" s="100"/>
      <c r="BB49" s="100"/>
      <c r="BC49" s="100"/>
      <c r="BD49" s="100"/>
      <c r="BE49" s="100"/>
      <c r="BF49" s="100"/>
      <c r="BG49" s="100"/>
      <c r="BH49" s="100"/>
      <c r="BI49" s="100"/>
      <c r="BJ49" s="100"/>
      <c r="BK49" s="100"/>
      <c r="BL49" s="100"/>
      <c r="BM49" s="100"/>
      <c r="BN49" s="100"/>
      <c r="BO49" s="100"/>
    </row>
    <row r="50" spans="1:67" ht="11.25" customHeight="1" x14ac:dyDescent="0.25">
      <c r="A50" s="55" t="s">
        <v>69</v>
      </c>
      <c r="B50" s="56"/>
      <c r="C50" s="56"/>
      <c r="D50" s="56"/>
      <c r="E50" s="56"/>
      <c r="F50" s="56"/>
      <c r="G50" s="56"/>
      <c r="H50" s="57"/>
      <c r="I50" s="64" t="s">
        <v>97</v>
      </c>
      <c r="J50" s="65"/>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AQ50" s="65"/>
      <c r="AR50" s="65"/>
      <c r="AS50" s="66"/>
      <c r="AT50" s="127" t="s">
        <v>1</v>
      </c>
      <c r="AU50" s="127"/>
      <c r="AV50" s="127"/>
      <c r="AW50" s="127"/>
      <c r="AX50" s="127"/>
      <c r="AY50" s="127"/>
      <c r="AZ50" s="127"/>
      <c r="BA50" s="127"/>
      <c r="BB50" s="127"/>
      <c r="BC50" s="127"/>
      <c r="BD50" s="88" t="s">
        <v>39</v>
      </c>
      <c r="BE50" s="88"/>
      <c r="BF50" s="88"/>
      <c r="BG50" s="88"/>
      <c r="BH50" s="88"/>
      <c r="BI50" s="88" t="s">
        <v>2</v>
      </c>
      <c r="BJ50" s="88"/>
      <c r="BK50" s="88"/>
      <c r="BL50" s="88"/>
      <c r="BM50" s="88"/>
      <c r="BN50" s="88"/>
      <c r="BO50" s="122"/>
    </row>
    <row r="51" spans="1:67" ht="11.25" customHeight="1" x14ac:dyDescent="0.25">
      <c r="A51" s="55"/>
      <c r="B51" s="56"/>
      <c r="C51" s="56"/>
      <c r="D51" s="56"/>
      <c r="E51" s="56"/>
      <c r="F51" s="56"/>
      <c r="G51" s="56"/>
      <c r="H51" s="57"/>
      <c r="I51" s="64"/>
      <c r="J51" s="65"/>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65"/>
      <c r="AP51" s="65"/>
      <c r="AQ51" s="65"/>
      <c r="AR51" s="65"/>
      <c r="AS51" s="66"/>
      <c r="AT51" s="126"/>
      <c r="AU51" s="126"/>
      <c r="AV51" s="126"/>
      <c r="AW51" s="126"/>
      <c r="AX51" s="126"/>
      <c r="AY51" s="126"/>
      <c r="AZ51" s="126"/>
      <c r="BA51" s="126"/>
      <c r="BB51" s="126"/>
      <c r="BC51" s="126"/>
      <c r="BD51" s="48"/>
      <c r="BE51" s="48"/>
      <c r="BF51" s="48"/>
      <c r="BG51" s="48"/>
      <c r="BH51" s="48"/>
      <c r="BI51" s="48"/>
      <c r="BJ51" s="48"/>
      <c r="BK51" s="48"/>
      <c r="BL51" s="48"/>
      <c r="BM51" s="48"/>
      <c r="BN51" s="48"/>
      <c r="BO51" s="50"/>
    </row>
    <row r="52" spans="1:67" ht="11.25" customHeight="1" x14ac:dyDescent="0.25">
      <c r="A52" s="55"/>
      <c r="B52" s="56"/>
      <c r="C52" s="56"/>
      <c r="D52" s="56"/>
      <c r="E52" s="56"/>
      <c r="F52" s="56"/>
      <c r="G52" s="56"/>
      <c r="H52" s="57"/>
      <c r="I52" s="64"/>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6"/>
      <c r="AT52" s="126" t="str">
        <f>IF(BK46="","",IF(BK46="1ST","1ST",IF(BK46="2ND","3RD")))</f>
        <v/>
      </c>
      <c r="AU52" s="126"/>
      <c r="AV52" s="126"/>
      <c r="AW52" s="126"/>
      <c r="AX52" s="126"/>
      <c r="AY52" s="126" t="str">
        <f>IF(BK46="","",IF(BK46="1ST","2ND",IF(BK46="2ND","4TH")))</f>
        <v/>
      </c>
      <c r="AZ52" s="126"/>
      <c r="BA52" s="126"/>
      <c r="BB52" s="126"/>
      <c r="BC52" s="126"/>
      <c r="BD52" s="48"/>
      <c r="BE52" s="48"/>
      <c r="BF52" s="48"/>
      <c r="BG52" s="48"/>
      <c r="BH52" s="48"/>
      <c r="BI52" s="48"/>
      <c r="BJ52" s="48"/>
      <c r="BK52" s="48"/>
      <c r="BL52" s="48"/>
      <c r="BM52" s="48"/>
      <c r="BN52" s="48"/>
      <c r="BO52" s="50"/>
    </row>
    <row r="53" spans="1:67" ht="11.25" customHeight="1" x14ac:dyDescent="0.25">
      <c r="A53" s="58"/>
      <c r="B53" s="59"/>
      <c r="C53" s="59"/>
      <c r="D53" s="59"/>
      <c r="E53" s="59"/>
      <c r="F53" s="59"/>
      <c r="G53" s="59"/>
      <c r="H53" s="60"/>
      <c r="I53" s="67"/>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9"/>
      <c r="AT53" s="126"/>
      <c r="AU53" s="126"/>
      <c r="AV53" s="126"/>
      <c r="AW53" s="126"/>
      <c r="AX53" s="126"/>
      <c r="AY53" s="126"/>
      <c r="AZ53" s="126"/>
      <c r="BA53" s="126"/>
      <c r="BB53" s="126"/>
      <c r="BC53" s="126"/>
      <c r="BD53" s="48"/>
      <c r="BE53" s="48"/>
      <c r="BF53" s="48"/>
      <c r="BG53" s="48"/>
      <c r="BH53" s="48"/>
      <c r="BI53" s="48"/>
      <c r="BJ53" s="48"/>
      <c r="BK53" s="48"/>
      <c r="BL53" s="48"/>
      <c r="BM53" s="48"/>
      <c r="BN53" s="48"/>
      <c r="BO53" s="50"/>
    </row>
    <row r="54" spans="1:67" ht="20.100000000000001" customHeight="1" x14ac:dyDescent="0.25">
      <c r="A54" s="35"/>
      <c r="B54" s="36"/>
      <c r="C54" s="36"/>
      <c r="D54" s="36"/>
      <c r="E54" s="36"/>
      <c r="F54" s="36"/>
      <c r="G54" s="36"/>
      <c r="H54" s="37"/>
      <c r="I54" s="41"/>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3"/>
      <c r="AT54" s="89"/>
      <c r="AU54" s="36"/>
      <c r="AV54" s="36"/>
      <c r="AW54" s="36"/>
      <c r="AX54" s="37"/>
      <c r="AY54" s="89"/>
      <c r="AZ54" s="36"/>
      <c r="BA54" s="36"/>
      <c r="BB54" s="36"/>
      <c r="BC54" s="37"/>
      <c r="BD54" s="39" t="str">
        <f t="shared" ref="BD54" si="6">IF(OR(AT54="",AY54=""),"",IF(ISERROR(ROUND(AVERAGE(AT54,AY54),0)),"",ROUND(AVERAGE(AT54,AY54),0)))</f>
        <v/>
      </c>
      <c r="BE54" s="39"/>
      <c r="BF54" s="39"/>
      <c r="BG54" s="39"/>
      <c r="BH54" s="39"/>
      <c r="BI54" s="39" t="str">
        <f t="shared" ref="BI54" si="7">IF(OR(AT54="",AY54="",BD54=""),"",IF(BD54&gt;=75,"PASSED","FAILED"))</f>
        <v/>
      </c>
      <c r="BJ54" s="39"/>
      <c r="BK54" s="39"/>
      <c r="BL54" s="39"/>
      <c r="BM54" s="39"/>
      <c r="BN54" s="39"/>
      <c r="BO54" s="40"/>
    </row>
    <row r="55" spans="1:67" ht="20.100000000000001" customHeight="1" x14ac:dyDescent="0.25">
      <c r="A55" s="35"/>
      <c r="B55" s="36"/>
      <c r="C55" s="36"/>
      <c r="D55" s="36"/>
      <c r="E55" s="36"/>
      <c r="F55" s="36"/>
      <c r="G55" s="36"/>
      <c r="H55" s="37"/>
      <c r="I55" s="41"/>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3"/>
      <c r="AT55" s="89"/>
      <c r="AU55" s="36"/>
      <c r="AV55" s="36"/>
      <c r="AW55" s="36"/>
      <c r="AX55" s="37"/>
      <c r="AY55" s="89"/>
      <c r="AZ55" s="36"/>
      <c r="BA55" s="36"/>
      <c r="BB55" s="36"/>
      <c r="BC55" s="37"/>
      <c r="BD55" s="80" t="str">
        <f t="shared" ref="BD55:BD65" si="8">IF(OR(AT55="",AY55=""),"",IF(ISERROR(ROUND(AVERAGE(AT55,AY55),0)),"",ROUND(AVERAGE(AT55,AY55),0)))</f>
        <v/>
      </c>
      <c r="BE55" s="81"/>
      <c r="BF55" s="81"/>
      <c r="BG55" s="81"/>
      <c r="BH55" s="82"/>
      <c r="BI55" s="80" t="str">
        <f t="shared" ref="BI55:BI65" si="9">IF(OR(AT55="",AY55="",BD55=""),"",IF(BD55&gt;=75,"PASSED","FAILED"))</f>
        <v/>
      </c>
      <c r="BJ55" s="81"/>
      <c r="BK55" s="81"/>
      <c r="BL55" s="81"/>
      <c r="BM55" s="81"/>
      <c r="BN55" s="81"/>
      <c r="BO55" s="96"/>
    </row>
    <row r="56" spans="1:67" ht="20.100000000000001" customHeight="1" x14ac:dyDescent="0.25">
      <c r="A56" s="35"/>
      <c r="B56" s="36"/>
      <c r="C56" s="36"/>
      <c r="D56" s="36"/>
      <c r="E56" s="36"/>
      <c r="F56" s="36"/>
      <c r="G56" s="36"/>
      <c r="H56" s="37"/>
      <c r="I56" s="41"/>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3"/>
      <c r="AT56" s="89"/>
      <c r="AU56" s="36"/>
      <c r="AV56" s="36"/>
      <c r="AW56" s="36"/>
      <c r="AX56" s="37"/>
      <c r="AY56" s="89"/>
      <c r="AZ56" s="36"/>
      <c r="BA56" s="36"/>
      <c r="BB56" s="36"/>
      <c r="BC56" s="37"/>
      <c r="BD56" s="80" t="str">
        <f t="shared" si="8"/>
        <v/>
      </c>
      <c r="BE56" s="81"/>
      <c r="BF56" s="81"/>
      <c r="BG56" s="81"/>
      <c r="BH56" s="82"/>
      <c r="BI56" s="80" t="str">
        <f t="shared" si="9"/>
        <v/>
      </c>
      <c r="BJ56" s="81"/>
      <c r="BK56" s="81"/>
      <c r="BL56" s="81"/>
      <c r="BM56" s="81"/>
      <c r="BN56" s="81"/>
      <c r="BO56" s="96"/>
    </row>
    <row r="57" spans="1:67" ht="20.100000000000001" customHeight="1" x14ac:dyDescent="0.25">
      <c r="A57" s="35"/>
      <c r="B57" s="36"/>
      <c r="C57" s="36"/>
      <c r="D57" s="36"/>
      <c r="E57" s="36"/>
      <c r="F57" s="36"/>
      <c r="G57" s="36"/>
      <c r="H57" s="37"/>
      <c r="I57" s="41"/>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3"/>
      <c r="AT57" s="89"/>
      <c r="AU57" s="36"/>
      <c r="AV57" s="36"/>
      <c r="AW57" s="36"/>
      <c r="AX57" s="37"/>
      <c r="AY57" s="89"/>
      <c r="AZ57" s="36"/>
      <c r="BA57" s="36"/>
      <c r="BB57" s="36"/>
      <c r="BC57" s="37"/>
      <c r="BD57" s="80" t="str">
        <f t="shared" si="8"/>
        <v/>
      </c>
      <c r="BE57" s="81"/>
      <c r="BF57" s="81"/>
      <c r="BG57" s="81"/>
      <c r="BH57" s="82"/>
      <c r="BI57" s="80" t="str">
        <f t="shared" si="9"/>
        <v/>
      </c>
      <c r="BJ57" s="81"/>
      <c r="BK57" s="81"/>
      <c r="BL57" s="81"/>
      <c r="BM57" s="81"/>
      <c r="BN57" s="81"/>
      <c r="BO57" s="96"/>
    </row>
    <row r="58" spans="1:67" ht="20.100000000000001" customHeight="1" x14ac:dyDescent="0.25">
      <c r="A58" s="35"/>
      <c r="B58" s="36"/>
      <c r="C58" s="36"/>
      <c r="D58" s="36"/>
      <c r="E58" s="36"/>
      <c r="F58" s="36"/>
      <c r="G58" s="36"/>
      <c r="H58" s="37"/>
      <c r="I58" s="41"/>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3"/>
      <c r="AT58" s="89"/>
      <c r="AU58" s="36"/>
      <c r="AV58" s="36"/>
      <c r="AW58" s="36"/>
      <c r="AX58" s="37"/>
      <c r="AY58" s="89"/>
      <c r="AZ58" s="36"/>
      <c r="BA58" s="36"/>
      <c r="BB58" s="36"/>
      <c r="BC58" s="37"/>
      <c r="BD58" s="80" t="str">
        <f t="shared" si="8"/>
        <v/>
      </c>
      <c r="BE58" s="81"/>
      <c r="BF58" s="81"/>
      <c r="BG58" s="81"/>
      <c r="BH58" s="82"/>
      <c r="BI58" s="80" t="str">
        <f t="shared" si="9"/>
        <v/>
      </c>
      <c r="BJ58" s="81"/>
      <c r="BK58" s="81"/>
      <c r="BL58" s="81"/>
      <c r="BM58" s="81"/>
      <c r="BN58" s="81"/>
      <c r="BO58" s="96"/>
    </row>
    <row r="59" spans="1:67" ht="20.100000000000001" customHeight="1" x14ac:dyDescent="0.25">
      <c r="A59" s="35"/>
      <c r="B59" s="36"/>
      <c r="C59" s="36"/>
      <c r="D59" s="36"/>
      <c r="E59" s="36"/>
      <c r="F59" s="36"/>
      <c r="G59" s="36"/>
      <c r="H59" s="37"/>
      <c r="I59" s="41"/>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3"/>
      <c r="AT59" s="89"/>
      <c r="AU59" s="36"/>
      <c r="AV59" s="36"/>
      <c r="AW59" s="36"/>
      <c r="AX59" s="37"/>
      <c r="AY59" s="89"/>
      <c r="AZ59" s="36"/>
      <c r="BA59" s="36"/>
      <c r="BB59" s="36"/>
      <c r="BC59" s="37"/>
      <c r="BD59" s="80" t="str">
        <f t="shared" si="8"/>
        <v/>
      </c>
      <c r="BE59" s="81"/>
      <c r="BF59" s="81"/>
      <c r="BG59" s="81"/>
      <c r="BH59" s="82"/>
      <c r="BI59" s="80" t="str">
        <f t="shared" si="9"/>
        <v/>
      </c>
      <c r="BJ59" s="81"/>
      <c r="BK59" s="81"/>
      <c r="BL59" s="81"/>
      <c r="BM59" s="81"/>
      <c r="BN59" s="81"/>
      <c r="BO59" s="96"/>
    </row>
    <row r="60" spans="1:67" ht="20.100000000000001" customHeight="1" x14ac:dyDescent="0.25">
      <c r="A60" s="35"/>
      <c r="B60" s="36"/>
      <c r="C60" s="36"/>
      <c r="D60" s="36"/>
      <c r="E60" s="36"/>
      <c r="F60" s="36"/>
      <c r="G60" s="36"/>
      <c r="H60" s="37"/>
      <c r="I60" s="41"/>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3"/>
      <c r="AT60" s="89"/>
      <c r="AU60" s="36"/>
      <c r="AV60" s="36"/>
      <c r="AW60" s="36"/>
      <c r="AX60" s="37"/>
      <c r="AY60" s="89"/>
      <c r="AZ60" s="36"/>
      <c r="BA60" s="36"/>
      <c r="BB60" s="36"/>
      <c r="BC60" s="37"/>
      <c r="BD60" s="80" t="str">
        <f t="shared" si="8"/>
        <v/>
      </c>
      <c r="BE60" s="81"/>
      <c r="BF60" s="81"/>
      <c r="BG60" s="81"/>
      <c r="BH60" s="82"/>
      <c r="BI60" s="80" t="str">
        <f t="shared" si="9"/>
        <v/>
      </c>
      <c r="BJ60" s="81"/>
      <c r="BK60" s="81"/>
      <c r="BL60" s="81"/>
      <c r="BM60" s="81"/>
      <c r="BN60" s="81"/>
      <c r="BO60" s="96"/>
    </row>
    <row r="61" spans="1:67" ht="20.100000000000001" customHeight="1" x14ac:dyDescent="0.25">
      <c r="A61" s="35"/>
      <c r="B61" s="36"/>
      <c r="C61" s="36"/>
      <c r="D61" s="36"/>
      <c r="E61" s="36"/>
      <c r="F61" s="36"/>
      <c r="G61" s="36"/>
      <c r="H61" s="37"/>
      <c r="I61" s="41"/>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3"/>
      <c r="AT61" s="89"/>
      <c r="AU61" s="36"/>
      <c r="AV61" s="36"/>
      <c r="AW61" s="36"/>
      <c r="AX61" s="37"/>
      <c r="AY61" s="89"/>
      <c r="AZ61" s="36"/>
      <c r="BA61" s="36"/>
      <c r="BB61" s="36"/>
      <c r="BC61" s="37"/>
      <c r="BD61" s="80" t="str">
        <f t="shared" si="8"/>
        <v/>
      </c>
      <c r="BE61" s="81"/>
      <c r="BF61" s="81"/>
      <c r="BG61" s="81"/>
      <c r="BH61" s="82"/>
      <c r="BI61" s="80" t="str">
        <f t="shared" si="9"/>
        <v/>
      </c>
      <c r="BJ61" s="81"/>
      <c r="BK61" s="81"/>
      <c r="BL61" s="81"/>
      <c r="BM61" s="81"/>
      <c r="BN61" s="81"/>
      <c r="BO61" s="96"/>
    </row>
    <row r="62" spans="1:67" ht="20.100000000000001" customHeight="1" x14ac:dyDescent="0.25">
      <c r="A62" s="35"/>
      <c r="B62" s="36"/>
      <c r="C62" s="36"/>
      <c r="D62" s="36"/>
      <c r="E62" s="36"/>
      <c r="F62" s="36"/>
      <c r="G62" s="36"/>
      <c r="H62" s="37"/>
      <c r="I62" s="41"/>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3"/>
      <c r="AT62" s="89"/>
      <c r="AU62" s="36"/>
      <c r="AV62" s="36"/>
      <c r="AW62" s="36"/>
      <c r="AX62" s="37"/>
      <c r="AY62" s="89"/>
      <c r="AZ62" s="36"/>
      <c r="BA62" s="36"/>
      <c r="BB62" s="36"/>
      <c r="BC62" s="37"/>
      <c r="BD62" s="80" t="str">
        <f t="shared" si="8"/>
        <v/>
      </c>
      <c r="BE62" s="81"/>
      <c r="BF62" s="81"/>
      <c r="BG62" s="81"/>
      <c r="BH62" s="82"/>
      <c r="BI62" s="80" t="str">
        <f t="shared" si="9"/>
        <v/>
      </c>
      <c r="BJ62" s="81"/>
      <c r="BK62" s="81"/>
      <c r="BL62" s="81"/>
      <c r="BM62" s="81"/>
      <c r="BN62" s="81"/>
      <c r="BO62" s="96"/>
    </row>
    <row r="63" spans="1:67" ht="20.100000000000001" customHeight="1" x14ac:dyDescent="0.25">
      <c r="A63" s="35"/>
      <c r="B63" s="36"/>
      <c r="C63" s="36"/>
      <c r="D63" s="36"/>
      <c r="E63" s="36"/>
      <c r="F63" s="36"/>
      <c r="G63" s="36"/>
      <c r="H63" s="37"/>
      <c r="I63" s="41"/>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3"/>
      <c r="AT63" s="89"/>
      <c r="AU63" s="36"/>
      <c r="AV63" s="36"/>
      <c r="AW63" s="36"/>
      <c r="AX63" s="37"/>
      <c r="AY63" s="89"/>
      <c r="AZ63" s="36"/>
      <c r="BA63" s="36"/>
      <c r="BB63" s="36"/>
      <c r="BC63" s="37"/>
      <c r="BD63" s="80" t="str">
        <f t="shared" si="8"/>
        <v/>
      </c>
      <c r="BE63" s="81"/>
      <c r="BF63" s="81"/>
      <c r="BG63" s="81"/>
      <c r="BH63" s="82"/>
      <c r="BI63" s="80" t="str">
        <f t="shared" si="9"/>
        <v/>
      </c>
      <c r="BJ63" s="81"/>
      <c r="BK63" s="81"/>
      <c r="BL63" s="81"/>
      <c r="BM63" s="81"/>
      <c r="BN63" s="81"/>
      <c r="BO63" s="96"/>
    </row>
    <row r="64" spans="1:67" ht="20.100000000000001" customHeight="1" x14ac:dyDescent="0.25">
      <c r="A64" s="35"/>
      <c r="B64" s="36"/>
      <c r="C64" s="36"/>
      <c r="D64" s="36"/>
      <c r="E64" s="36"/>
      <c r="F64" s="36"/>
      <c r="G64" s="36"/>
      <c r="H64" s="37"/>
      <c r="I64" s="41"/>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3"/>
      <c r="AT64" s="89"/>
      <c r="AU64" s="36"/>
      <c r="AV64" s="36"/>
      <c r="AW64" s="36"/>
      <c r="AX64" s="37"/>
      <c r="AY64" s="89"/>
      <c r="AZ64" s="36"/>
      <c r="BA64" s="36"/>
      <c r="BB64" s="36"/>
      <c r="BC64" s="37"/>
      <c r="BD64" s="80" t="str">
        <f t="shared" si="8"/>
        <v/>
      </c>
      <c r="BE64" s="81"/>
      <c r="BF64" s="81"/>
      <c r="BG64" s="81"/>
      <c r="BH64" s="82"/>
      <c r="BI64" s="80" t="str">
        <f t="shared" si="9"/>
        <v/>
      </c>
      <c r="BJ64" s="81"/>
      <c r="BK64" s="81"/>
      <c r="BL64" s="81"/>
      <c r="BM64" s="81"/>
      <c r="BN64" s="81"/>
      <c r="BO64" s="96"/>
    </row>
    <row r="65" spans="1:67" ht="20.100000000000001" customHeight="1" x14ac:dyDescent="0.25">
      <c r="A65" s="35"/>
      <c r="B65" s="36"/>
      <c r="C65" s="36"/>
      <c r="D65" s="36"/>
      <c r="E65" s="36"/>
      <c r="F65" s="36"/>
      <c r="G65" s="36"/>
      <c r="H65" s="37"/>
      <c r="I65" s="41"/>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3"/>
      <c r="AT65" s="89"/>
      <c r="AU65" s="36"/>
      <c r="AV65" s="36"/>
      <c r="AW65" s="36"/>
      <c r="AX65" s="37"/>
      <c r="AY65" s="89"/>
      <c r="AZ65" s="36"/>
      <c r="BA65" s="36"/>
      <c r="BB65" s="36"/>
      <c r="BC65" s="37"/>
      <c r="BD65" s="80" t="str">
        <f t="shared" si="8"/>
        <v/>
      </c>
      <c r="BE65" s="81"/>
      <c r="BF65" s="81"/>
      <c r="BG65" s="81"/>
      <c r="BH65" s="82"/>
      <c r="BI65" s="80" t="str">
        <f t="shared" si="9"/>
        <v/>
      </c>
      <c r="BJ65" s="81"/>
      <c r="BK65" s="81"/>
      <c r="BL65" s="81"/>
      <c r="BM65" s="81"/>
      <c r="BN65" s="81"/>
      <c r="BO65" s="96"/>
    </row>
    <row r="66" spans="1:67" ht="20.100000000000001" customHeight="1" thickBot="1" x14ac:dyDescent="0.3">
      <c r="A66" s="74" t="s">
        <v>40</v>
      </c>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5"/>
      <c r="AZ66" s="75"/>
      <c r="BA66" s="75"/>
      <c r="BB66" s="75"/>
      <c r="BC66" s="76"/>
      <c r="BD66" s="84" t="str">
        <f>IFERROR(ROUND((SUM(BD54:BD65,BD81:BD84)-SUM(AT81:AT84))/(COUNTA(BD54:BD65)-COUNTBLANK(BD54:BD65)),0),"")</f>
        <v/>
      </c>
      <c r="BE66" s="85"/>
      <c r="BF66" s="85"/>
      <c r="BG66" s="85"/>
      <c r="BH66" s="86"/>
      <c r="BI66" s="84" t="str">
        <f>IF(BD66="","",IF(BD66&gt;=75,"PASSED","FAILED"))</f>
        <v/>
      </c>
      <c r="BJ66" s="85"/>
      <c r="BK66" s="85"/>
      <c r="BL66" s="85"/>
      <c r="BM66" s="85"/>
      <c r="BN66" s="85"/>
      <c r="BO66" s="87"/>
    </row>
    <row r="67" spans="1:67" ht="3" customHeight="1" x14ac:dyDescent="0.25">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row>
    <row r="68" spans="1:67" ht="15.95" customHeight="1" x14ac:dyDescent="0.25">
      <c r="A68" s="46" t="s">
        <v>41</v>
      </c>
      <c r="B68" s="46"/>
      <c r="C68" s="46"/>
      <c r="D68" s="46"/>
      <c r="E68" s="46"/>
      <c r="F68" s="114"/>
      <c r="G68" s="114"/>
      <c r="H68" s="114"/>
      <c r="I68" s="114"/>
      <c r="J68" s="114"/>
      <c r="K68" s="114"/>
      <c r="L68" s="114"/>
      <c r="M68" s="114"/>
      <c r="N68" s="114"/>
      <c r="O68" s="114"/>
      <c r="P68" s="114"/>
      <c r="Q68" s="114"/>
      <c r="R68" s="114"/>
      <c r="S68" s="114"/>
      <c r="T68" s="114"/>
      <c r="U68" s="114"/>
      <c r="V68" s="114"/>
      <c r="W68" s="114"/>
      <c r="X68" s="114"/>
      <c r="Y68" s="114"/>
      <c r="Z68" s="114"/>
      <c r="AA68" s="114"/>
      <c r="AB68" s="114"/>
      <c r="AC68" s="114"/>
      <c r="AD68" s="114"/>
      <c r="AE68" s="114"/>
      <c r="AF68" s="114"/>
      <c r="AG68" s="114"/>
      <c r="AH68" s="114"/>
      <c r="AI68" s="114"/>
      <c r="AJ68" s="114"/>
      <c r="AK68" s="114"/>
      <c r="AL68" s="114"/>
      <c r="AM68" s="114"/>
      <c r="AN68" s="114"/>
      <c r="AO68" s="114"/>
      <c r="AP68" s="114"/>
      <c r="AQ68" s="114"/>
      <c r="AR68" s="114"/>
      <c r="AS68" s="114"/>
      <c r="AT68" s="114"/>
      <c r="AU68" s="114"/>
      <c r="AV68" s="114"/>
      <c r="AW68" s="114"/>
      <c r="AX68" s="114"/>
      <c r="AY68" s="114"/>
      <c r="AZ68" s="114"/>
      <c r="BA68" s="114"/>
      <c r="BB68" s="114"/>
      <c r="BC68" s="114"/>
      <c r="BD68" s="114"/>
      <c r="BE68" s="114"/>
      <c r="BF68" s="114"/>
      <c r="BG68" s="114"/>
      <c r="BH68" s="114"/>
      <c r="BI68" s="114"/>
      <c r="BJ68" s="114"/>
      <c r="BK68" s="114"/>
      <c r="BL68" s="114"/>
      <c r="BM68" s="114"/>
      <c r="BN68" s="114"/>
      <c r="BO68" s="114"/>
    </row>
    <row r="69" spans="1:67" ht="3" customHeight="1" x14ac:dyDescent="0.25">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row>
    <row r="70" spans="1:67" ht="15.95" customHeight="1" x14ac:dyDescent="0.25">
      <c r="A70" s="46" t="s">
        <v>76</v>
      </c>
      <c r="B70" s="46"/>
      <c r="C70" s="46"/>
      <c r="D70" s="46"/>
      <c r="E70" s="46"/>
      <c r="F70" s="3"/>
      <c r="G70" s="3"/>
      <c r="H70" s="3"/>
      <c r="I70" s="3"/>
      <c r="J70" s="3"/>
      <c r="K70" s="3"/>
      <c r="L70" s="3"/>
      <c r="M70" s="3"/>
      <c r="N70" s="3"/>
      <c r="O70" s="3"/>
      <c r="P70" s="3"/>
      <c r="Q70" s="3"/>
      <c r="R70" s="3"/>
      <c r="S70" s="3"/>
      <c r="T70" s="3"/>
      <c r="U70" s="3"/>
      <c r="V70" s="46" t="s">
        <v>78</v>
      </c>
      <c r="W70" s="46"/>
      <c r="X70" s="46"/>
      <c r="Y70" s="46"/>
      <c r="Z70" s="46"/>
      <c r="AA70" s="46"/>
      <c r="AB70" s="46"/>
      <c r="AC70" s="46"/>
      <c r="AD70" s="46"/>
      <c r="AE70" s="46"/>
      <c r="AF70" s="8"/>
      <c r="AG70" s="91"/>
      <c r="AH70" s="91"/>
      <c r="AI70" s="91"/>
      <c r="AJ70" s="91"/>
      <c r="AK70" s="91"/>
      <c r="AL70" s="91"/>
      <c r="AM70" s="91"/>
      <c r="AN70" s="91"/>
      <c r="AO70" s="91"/>
      <c r="AP70" s="91"/>
      <c r="AQ70" s="91"/>
      <c r="AR70" s="91"/>
      <c r="AS70" s="91"/>
      <c r="AT70" s="91"/>
      <c r="AU70" s="3"/>
      <c r="AV70" s="8"/>
      <c r="AW70" s="8"/>
      <c r="AX70" s="8"/>
      <c r="AY70" s="8"/>
      <c r="AZ70" s="8" t="s">
        <v>79</v>
      </c>
      <c r="BA70" s="8"/>
      <c r="BB70" s="8"/>
      <c r="BC70" s="8"/>
      <c r="BD70" s="8"/>
      <c r="BE70" s="8"/>
      <c r="BF70" s="8"/>
      <c r="BG70" s="3"/>
      <c r="BH70" s="3"/>
      <c r="BI70" s="3"/>
      <c r="BJ70" s="3"/>
      <c r="BK70" s="3"/>
      <c r="BL70" s="3"/>
      <c r="BM70" s="3"/>
      <c r="BN70" s="3"/>
      <c r="BO70" s="3"/>
    </row>
    <row r="71" spans="1:67" ht="13.5" customHeight="1" x14ac:dyDescent="0.25">
      <c r="A71" s="99"/>
      <c r="B71" s="99"/>
      <c r="C71" s="99"/>
      <c r="D71" s="99"/>
      <c r="E71" s="99"/>
      <c r="F71" s="99"/>
      <c r="G71" s="99"/>
      <c r="H71" s="99"/>
      <c r="I71" s="99"/>
      <c r="J71" s="99"/>
      <c r="K71" s="99"/>
      <c r="L71" s="99"/>
      <c r="M71" s="99"/>
      <c r="N71" s="99"/>
      <c r="O71" s="99"/>
      <c r="P71" s="99"/>
      <c r="Q71" s="99"/>
      <c r="R71" s="7"/>
      <c r="S71" s="7"/>
      <c r="T71" s="7"/>
      <c r="U71" s="7"/>
      <c r="V71" s="7"/>
      <c r="W71" s="7"/>
      <c r="X71" s="7"/>
      <c r="Y71" s="91"/>
      <c r="Z71" s="91"/>
      <c r="AA71" s="91"/>
      <c r="AB71" s="91"/>
      <c r="AC71" s="91"/>
      <c r="AD71" s="91"/>
      <c r="AE71" s="91"/>
      <c r="AF71" s="91"/>
      <c r="AG71" s="91"/>
      <c r="AH71" s="91"/>
      <c r="AI71" s="91"/>
      <c r="AJ71" s="91"/>
      <c r="AK71" s="91"/>
      <c r="AL71" s="91"/>
      <c r="AM71" s="91"/>
      <c r="AN71" s="91"/>
      <c r="AO71" s="91"/>
      <c r="AP71" s="7"/>
      <c r="AQ71" s="7"/>
      <c r="AR71" s="7"/>
      <c r="AS71" s="7"/>
      <c r="AT71" s="3"/>
      <c r="AU71" s="99"/>
      <c r="AV71" s="99"/>
      <c r="AW71" s="99"/>
      <c r="AX71" s="99"/>
      <c r="AY71" s="99"/>
      <c r="AZ71" s="99"/>
      <c r="BA71" s="99"/>
      <c r="BB71" s="99"/>
      <c r="BC71" s="99"/>
      <c r="BD71" s="99"/>
      <c r="BE71" s="3"/>
      <c r="BF71" s="3"/>
      <c r="BG71" s="3"/>
      <c r="BH71" s="3"/>
      <c r="BI71" s="3"/>
      <c r="BJ71" s="3"/>
      <c r="BK71" s="3"/>
      <c r="BL71" s="3"/>
      <c r="BM71" s="3"/>
      <c r="BN71" s="3"/>
      <c r="BO71" s="3"/>
    </row>
    <row r="72" spans="1:67" ht="15.95" customHeight="1" x14ac:dyDescent="0.25">
      <c r="A72" s="77"/>
      <c r="B72" s="77"/>
      <c r="C72" s="77"/>
      <c r="D72" s="77"/>
      <c r="E72" s="77"/>
      <c r="F72" s="77"/>
      <c r="G72" s="77"/>
      <c r="H72" s="77"/>
      <c r="I72" s="77"/>
      <c r="J72" s="77"/>
      <c r="K72" s="77"/>
      <c r="L72" s="77"/>
      <c r="M72" s="77"/>
      <c r="N72" s="77"/>
      <c r="O72" s="77"/>
      <c r="P72" s="77"/>
      <c r="Q72" s="77"/>
      <c r="R72" s="77"/>
      <c r="S72" s="77"/>
      <c r="T72" s="3"/>
      <c r="U72" s="3"/>
      <c r="V72" s="3"/>
      <c r="W72" s="3"/>
      <c r="X72" s="3"/>
      <c r="Y72" s="77"/>
      <c r="Z72" s="77"/>
      <c r="AA72" s="77"/>
      <c r="AB72" s="77"/>
      <c r="AC72" s="77"/>
      <c r="AD72" s="77"/>
      <c r="AE72" s="77"/>
      <c r="AF72" s="77"/>
      <c r="AG72" s="77"/>
      <c r="AH72" s="77"/>
      <c r="AI72" s="77"/>
      <c r="AJ72" s="77"/>
      <c r="AK72" s="77"/>
      <c r="AL72" s="77"/>
      <c r="AM72" s="77"/>
      <c r="AN72" s="77"/>
      <c r="AO72" s="77"/>
      <c r="AP72" s="77"/>
      <c r="AQ72" s="77"/>
      <c r="AR72" s="77"/>
      <c r="AS72" s="77"/>
      <c r="AT72" s="3"/>
      <c r="AU72" s="27"/>
      <c r="AV72" s="27"/>
      <c r="AW72" s="27"/>
      <c r="AX72" s="27"/>
      <c r="AY72" s="27"/>
      <c r="AZ72" s="78"/>
      <c r="BA72" s="78"/>
      <c r="BB72" s="78"/>
      <c r="BC72" s="78"/>
      <c r="BD72" s="78"/>
      <c r="BE72" s="78"/>
      <c r="BF72" s="78"/>
      <c r="BG72" s="78"/>
      <c r="BH72" s="78"/>
      <c r="BI72" s="78"/>
      <c r="BJ72" s="78"/>
      <c r="BK72" s="78"/>
      <c r="BL72" s="78"/>
      <c r="BM72" s="78"/>
      <c r="BN72" s="78"/>
      <c r="BO72" s="78"/>
    </row>
    <row r="73" spans="1:67" ht="15.95" customHeight="1" x14ac:dyDescent="0.25">
      <c r="A73" s="79" t="s">
        <v>77</v>
      </c>
      <c r="B73" s="79"/>
      <c r="C73" s="79"/>
      <c r="D73" s="79"/>
      <c r="E73" s="79"/>
      <c r="F73" s="79"/>
      <c r="G73" s="79"/>
      <c r="H73" s="79"/>
      <c r="I73" s="79"/>
      <c r="J73" s="79"/>
      <c r="K73" s="79"/>
      <c r="L73" s="79"/>
      <c r="M73" s="79"/>
      <c r="N73" s="79"/>
      <c r="O73" s="79"/>
      <c r="P73" s="79"/>
      <c r="Q73" s="79"/>
      <c r="R73" s="79"/>
      <c r="S73" s="79"/>
      <c r="T73" s="7"/>
      <c r="U73" s="7"/>
      <c r="V73" s="3"/>
      <c r="W73" s="3"/>
      <c r="X73" s="3"/>
      <c r="Y73" s="79" t="s">
        <v>86</v>
      </c>
      <c r="Z73" s="79"/>
      <c r="AA73" s="79"/>
      <c r="AB73" s="79"/>
      <c r="AC73" s="79"/>
      <c r="AD73" s="79"/>
      <c r="AE73" s="79"/>
      <c r="AF73" s="79"/>
      <c r="AG73" s="79"/>
      <c r="AH73" s="79"/>
      <c r="AI73" s="79"/>
      <c r="AJ73" s="79"/>
      <c r="AK73" s="79"/>
      <c r="AL73" s="79"/>
      <c r="AM73" s="79"/>
      <c r="AN73" s="79"/>
      <c r="AO73" s="79"/>
      <c r="AP73" s="79"/>
      <c r="AQ73" s="79"/>
      <c r="AR73" s="79"/>
      <c r="AS73" s="79"/>
      <c r="AT73" s="3"/>
      <c r="AU73" s="3"/>
      <c r="AV73" s="3"/>
      <c r="AW73" s="3"/>
      <c r="AX73" s="3"/>
      <c r="AY73" s="3"/>
      <c r="AZ73" s="3"/>
      <c r="BA73" s="3"/>
      <c r="BB73" s="3"/>
      <c r="BC73" s="3"/>
      <c r="BD73" s="3"/>
      <c r="BE73" s="3"/>
      <c r="BF73" s="3"/>
      <c r="BG73" s="3"/>
      <c r="BH73" s="3"/>
      <c r="BI73" s="3"/>
      <c r="BJ73" s="3"/>
      <c r="BK73" s="3"/>
      <c r="BL73" s="3"/>
      <c r="BM73" s="3"/>
      <c r="BN73" s="3"/>
      <c r="BO73" s="3"/>
    </row>
    <row r="74" spans="1:67" ht="9" customHeight="1" x14ac:dyDescent="0.25">
      <c r="A74" s="99"/>
      <c r="B74" s="99"/>
      <c r="C74" s="99"/>
      <c r="D74" s="99"/>
      <c r="E74" s="99"/>
      <c r="F74" s="99"/>
      <c r="G74" s="99"/>
      <c r="H74" s="99"/>
      <c r="I74" s="99"/>
      <c r="J74" s="99"/>
      <c r="K74" s="99"/>
      <c r="L74" s="99"/>
      <c r="M74" s="99"/>
      <c r="N74" s="99"/>
      <c r="O74" s="99"/>
      <c r="P74" s="99"/>
      <c r="Q74" s="99"/>
      <c r="R74" s="99"/>
      <c r="S74" s="99"/>
      <c r="T74" s="99"/>
      <c r="U74" s="99"/>
      <c r="V74" s="99"/>
      <c r="W74" s="99"/>
      <c r="X74" s="99"/>
      <c r="Y74" s="99"/>
      <c r="Z74" s="99"/>
      <c r="AA74" s="99"/>
      <c r="AB74" s="99"/>
      <c r="AC74" s="99"/>
      <c r="AD74" s="99"/>
      <c r="AE74" s="99"/>
      <c r="AF74" s="99"/>
      <c r="AG74" s="99"/>
      <c r="AH74" s="99"/>
      <c r="AI74" s="99"/>
      <c r="AJ74" s="99"/>
      <c r="AK74" s="99"/>
      <c r="AL74" s="99"/>
      <c r="AM74" s="99"/>
      <c r="AN74" s="99"/>
      <c r="AO74" s="99"/>
      <c r="AP74" s="99"/>
      <c r="AQ74" s="99"/>
      <c r="AR74" s="99"/>
      <c r="AS74" s="99"/>
      <c r="AT74" s="99"/>
      <c r="AU74" s="99"/>
      <c r="AV74" s="99"/>
      <c r="AW74" s="99"/>
      <c r="AX74" s="99"/>
      <c r="AY74" s="99"/>
      <c r="AZ74" s="99"/>
      <c r="BA74" s="99"/>
      <c r="BB74" s="99"/>
      <c r="BC74" s="99"/>
      <c r="BD74" s="99"/>
      <c r="BE74" s="99"/>
      <c r="BF74" s="99"/>
      <c r="BG74" s="99"/>
      <c r="BH74" s="99"/>
      <c r="BI74" s="99"/>
      <c r="BJ74" s="99"/>
      <c r="BK74" s="99"/>
      <c r="BL74" s="99"/>
      <c r="BM74" s="99"/>
      <c r="BN74" s="99"/>
      <c r="BO74" s="99"/>
    </row>
    <row r="75" spans="1:67" x14ac:dyDescent="0.25">
      <c r="A75" s="46" t="s">
        <v>43</v>
      </c>
      <c r="B75" s="46"/>
      <c r="C75" s="46"/>
      <c r="D75" s="46"/>
      <c r="E75" s="46"/>
      <c r="F75" s="46"/>
      <c r="G75" s="70" t="s">
        <v>101</v>
      </c>
      <c r="H75" s="70"/>
      <c r="I75" s="70"/>
      <c r="J75" s="70"/>
      <c r="K75" s="70"/>
      <c r="L75" s="70"/>
      <c r="M75" s="70"/>
      <c r="N75" s="70"/>
      <c r="O75" s="70"/>
      <c r="P75" s="70"/>
      <c r="Q75" s="70"/>
      <c r="R75" s="70"/>
      <c r="S75" s="128"/>
      <c r="T75" s="128"/>
      <c r="U75" s="128"/>
      <c r="V75" s="128"/>
      <c r="W75" s="70" t="s">
        <v>100</v>
      </c>
      <c r="X75" s="70"/>
      <c r="Y75" s="70"/>
      <c r="Z75" s="70"/>
      <c r="AA75" s="70"/>
      <c r="AB75" s="70"/>
      <c r="AC75" s="128"/>
      <c r="AD75" s="128"/>
      <c r="AE75" s="128"/>
      <c r="AF75" s="128"/>
      <c r="AG75" s="3"/>
      <c r="AH75" s="70" t="s">
        <v>35</v>
      </c>
      <c r="AI75" s="70"/>
      <c r="AJ75" s="70"/>
      <c r="AK75" s="70"/>
      <c r="AL75" s="83"/>
      <c r="AM75" s="83"/>
      <c r="AN75" s="83"/>
      <c r="AO75" s="83"/>
      <c r="AP75" s="83"/>
      <c r="AQ75" s="83"/>
      <c r="AR75" s="83"/>
      <c r="AS75" s="83"/>
      <c r="AT75" s="83"/>
      <c r="AU75" s="83"/>
      <c r="AV75" s="83"/>
      <c r="AW75" s="83"/>
      <c r="AX75" s="83"/>
      <c r="AY75" s="83"/>
      <c r="AZ75" s="83"/>
      <c r="BA75" s="83"/>
      <c r="BB75" s="83"/>
      <c r="BC75" s="83"/>
      <c r="BD75" s="83"/>
      <c r="BE75" s="83"/>
      <c r="BF75" s="45" t="s">
        <v>44</v>
      </c>
      <c r="BG75" s="45"/>
      <c r="BH75" s="45"/>
      <c r="BI75" s="45"/>
      <c r="BJ75" s="45"/>
      <c r="BK75" s="129"/>
      <c r="BL75" s="129"/>
      <c r="BM75" s="129"/>
      <c r="BN75" s="129"/>
      <c r="BO75" s="129"/>
    </row>
    <row r="76" spans="1:67" ht="3" customHeight="1" thickBot="1" x14ac:dyDescent="0.3">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row>
    <row r="77" spans="1:67" ht="11.25" customHeight="1" x14ac:dyDescent="0.25">
      <c r="A77" s="52" t="s">
        <v>69</v>
      </c>
      <c r="B77" s="53"/>
      <c r="C77" s="53"/>
      <c r="D77" s="53"/>
      <c r="E77" s="53"/>
      <c r="F77" s="53"/>
      <c r="G77" s="53"/>
      <c r="H77" s="54"/>
      <c r="I77" s="61" t="s">
        <v>97</v>
      </c>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2"/>
      <c r="AO77" s="62"/>
      <c r="AP77" s="62"/>
      <c r="AQ77" s="62"/>
      <c r="AR77" s="62"/>
      <c r="AS77" s="63"/>
      <c r="AT77" s="115" t="s">
        <v>39</v>
      </c>
      <c r="AU77" s="53"/>
      <c r="AV77" s="53"/>
      <c r="AW77" s="53"/>
      <c r="AX77" s="54"/>
      <c r="AY77" s="53" t="s">
        <v>45</v>
      </c>
      <c r="AZ77" s="53"/>
      <c r="BA77" s="53"/>
      <c r="BB77" s="53"/>
      <c r="BC77" s="54"/>
      <c r="BD77" s="47" t="s">
        <v>46</v>
      </c>
      <c r="BE77" s="47"/>
      <c r="BF77" s="47"/>
      <c r="BG77" s="47"/>
      <c r="BH77" s="47"/>
      <c r="BI77" s="47" t="s">
        <v>2</v>
      </c>
      <c r="BJ77" s="47"/>
      <c r="BK77" s="47"/>
      <c r="BL77" s="47"/>
      <c r="BM77" s="47"/>
      <c r="BN77" s="47"/>
      <c r="BO77" s="49"/>
    </row>
    <row r="78" spans="1:67" ht="11.25" customHeight="1" x14ac:dyDescent="0.25">
      <c r="A78" s="55"/>
      <c r="B78" s="56"/>
      <c r="C78" s="56"/>
      <c r="D78" s="56"/>
      <c r="E78" s="56"/>
      <c r="F78" s="56"/>
      <c r="G78" s="56"/>
      <c r="H78" s="57"/>
      <c r="I78" s="64"/>
      <c r="J78" s="65"/>
      <c r="K78" s="65"/>
      <c r="L78" s="65"/>
      <c r="M78" s="65"/>
      <c r="N78" s="65"/>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6"/>
      <c r="AT78" s="116"/>
      <c r="AU78" s="56"/>
      <c r="AV78" s="56"/>
      <c r="AW78" s="56"/>
      <c r="AX78" s="57"/>
      <c r="AY78" s="56"/>
      <c r="AZ78" s="56"/>
      <c r="BA78" s="56"/>
      <c r="BB78" s="56"/>
      <c r="BC78" s="57"/>
      <c r="BD78" s="48"/>
      <c r="BE78" s="48"/>
      <c r="BF78" s="48"/>
      <c r="BG78" s="48"/>
      <c r="BH78" s="48"/>
      <c r="BI78" s="48"/>
      <c r="BJ78" s="48"/>
      <c r="BK78" s="48"/>
      <c r="BL78" s="48"/>
      <c r="BM78" s="48"/>
      <c r="BN78" s="48"/>
      <c r="BO78" s="50"/>
    </row>
    <row r="79" spans="1:67" ht="11.25" customHeight="1" x14ac:dyDescent="0.25">
      <c r="A79" s="55"/>
      <c r="B79" s="56"/>
      <c r="C79" s="56"/>
      <c r="D79" s="56"/>
      <c r="E79" s="56"/>
      <c r="F79" s="56"/>
      <c r="G79" s="56"/>
      <c r="H79" s="57"/>
      <c r="I79" s="64"/>
      <c r="J79" s="65"/>
      <c r="K79" s="65"/>
      <c r="L79" s="65"/>
      <c r="M79" s="65"/>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6"/>
      <c r="AT79" s="116"/>
      <c r="AU79" s="56"/>
      <c r="AV79" s="56"/>
      <c r="AW79" s="56"/>
      <c r="AX79" s="57"/>
      <c r="AY79" s="56"/>
      <c r="AZ79" s="56"/>
      <c r="BA79" s="56"/>
      <c r="BB79" s="56"/>
      <c r="BC79" s="57"/>
      <c r="BD79" s="48"/>
      <c r="BE79" s="48"/>
      <c r="BF79" s="48"/>
      <c r="BG79" s="48"/>
      <c r="BH79" s="48"/>
      <c r="BI79" s="48"/>
      <c r="BJ79" s="48"/>
      <c r="BK79" s="48"/>
      <c r="BL79" s="48"/>
      <c r="BM79" s="48"/>
      <c r="BN79" s="48"/>
      <c r="BO79" s="50"/>
    </row>
    <row r="80" spans="1:67" ht="11.25" customHeight="1" x14ac:dyDescent="0.25">
      <c r="A80" s="58"/>
      <c r="B80" s="59"/>
      <c r="C80" s="59"/>
      <c r="D80" s="59"/>
      <c r="E80" s="59"/>
      <c r="F80" s="59"/>
      <c r="G80" s="59"/>
      <c r="H80" s="60"/>
      <c r="I80" s="67"/>
      <c r="J80" s="68"/>
      <c r="K80" s="68"/>
      <c r="L80" s="68"/>
      <c r="M80" s="68"/>
      <c r="N80" s="68"/>
      <c r="O80" s="68"/>
      <c r="P80" s="68"/>
      <c r="Q80" s="68"/>
      <c r="R80" s="68"/>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9"/>
      <c r="AT80" s="117"/>
      <c r="AU80" s="59"/>
      <c r="AV80" s="59"/>
      <c r="AW80" s="59"/>
      <c r="AX80" s="60"/>
      <c r="AY80" s="59"/>
      <c r="AZ80" s="59"/>
      <c r="BA80" s="59"/>
      <c r="BB80" s="59"/>
      <c r="BC80" s="60"/>
      <c r="BD80" s="48"/>
      <c r="BE80" s="48"/>
      <c r="BF80" s="48"/>
      <c r="BG80" s="48"/>
      <c r="BH80" s="48"/>
      <c r="BI80" s="48"/>
      <c r="BJ80" s="48"/>
      <c r="BK80" s="48"/>
      <c r="BL80" s="48"/>
      <c r="BM80" s="48"/>
      <c r="BN80" s="48"/>
      <c r="BO80" s="50"/>
    </row>
    <row r="81" spans="1:67" ht="20.100000000000001" customHeight="1" x14ac:dyDescent="0.25">
      <c r="A81" s="35"/>
      <c r="B81" s="36"/>
      <c r="C81" s="36"/>
      <c r="D81" s="36"/>
      <c r="E81" s="36"/>
      <c r="F81" s="36"/>
      <c r="G81" s="36"/>
      <c r="H81" s="37"/>
      <c r="I81" s="41"/>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3"/>
      <c r="AT81" s="38"/>
      <c r="AU81" s="38"/>
      <c r="AV81" s="38"/>
      <c r="AW81" s="38"/>
      <c r="AX81" s="38"/>
      <c r="AY81" s="38"/>
      <c r="AZ81" s="38"/>
      <c r="BA81" s="38"/>
      <c r="BB81" s="38"/>
      <c r="BC81" s="38"/>
      <c r="BD81" s="39" t="str">
        <f t="shared" ref="BD81:BD84" si="10">IF(OR(AT81="",AY81=""),"",IF(ISERROR(ROUND(AVERAGE(AT81,AY81),0)),"",ROUND(AVERAGE(AT81,AY81),0)))</f>
        <v/>
      </c>
      <c r="BE81" s="39"/>
      <c r="BF81" s="39"/>
      <c r="BG81" s="39"/>
      <c r="BH81" s="39"/>
      <c r="BI81" s="39" t="str">
        <f t="shared" ref="BI81:BI84" si="11">IF(OR(AT81="",AY81="",BD81=""),"",IF(BD81&gt;=75,"PASSED","FAILED"))</f>
        <v/>
      </c>
      <c r="BJ81" s="39"/>
      <c r="BK81" s="39"/>
      <c r="BL81" s="39"/>
      <c r="BM81" s="39"/>
      <c r="BN81" s="39"/>
      <c r="BO81" s="40"/>
    </row>
    <row r="82" spans="1:67" ht="20.100000000000001" customHeight="1" x14ac:dyDescent="0.25">
      <c r="A82" s="35"/>
      <c r="B82" s="36"/>
      <c r="C82" s="36"/>
      <c r="D82" s="36"/>
      <c r="E82" s="36"/>
      <c r="F82" s="36"/>
      <c r="G82" s="36"/>
      <c r="H82" s="37"/>
      <c r="I82" s="41"/>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3"/>
      <c r="AT82" s="38"/>
      <c r="AU82" s="38"/>
      <c r="AV82" s="38"/>
      <c r="AW82" s="38"/>
      <c r="AX82" s="38"/>
      <c r="AY82" s="38"/>
      <c r="AZ82" s="38"/>
      <c r="BA82" s="38"/>
      <c r="BB82" s="38"/>
      <c r="BC82" s="38"/>
      <c r="BD82" s="39" t="str">
        <f t="shared" si="10"/>
        <v/>
      </c>
      <c r="BE82" s="39"/>
      <c r="BF82" s="39"/>
      <c r="BG82" s="39"/>
      <c r="BH82" s="39"/>
      <c r="BI82" s="39" t="str">
        <f t="shared" si="11"/>
        <v/>
      </c>
      <c r="BJ82" s="39"/>
      <c r="BK82" s="39"/>
      <c r="BL82" s="39"/>
      <c r="BM82" s="39"/>
      <c r="BN82" s="39"/>
      <c r="BO82" s="40"/>
    </row>
    <row r="83" spans="1:67" ht="20.100000000000001" customHeight="1" x14ac:dyDescent="0.25">
      <c r="A83" s="35"/>
      <c r="B83" s="36"/>
      <c r="C83" s="36"/>
      <c r="D83" s="36"/>
      <c r="E83" s="36"/>
      <c r="F83" s="36"/>
      <c r="G83" s="36"/>
      <c r="H83" s="37"/>
      <c r="I83" s="41"/>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3"/>
      <c r="AT83" s="38"/>
      <c r="AU83" s="38"/>
      <c r="AV83" s="38"/>
      <c r="AW83" s="38"/>
      <c r="AX83" s="38"/>
      <c r="AY83" s="38"/>
      <c r="AZ83" s="38"/>
      <c r="BA83" s="38"/>
      <c r="BB83" s="38"/>
      <c r="BC83" s="38"/>
      <c r="BD83" s="39" t="str">
        <f t="shared" si="10"/>
        <v/>
      </c>
      <c r="BE83" s="39"/>
      <c r="BF83" s="39"/>
      <c r="BG83" s="39"/>
      <c r="BH83" s="39"/>
      <c r="BI83" s="39" t="str">
        <f t="shared" si="11"/>
        <v/>
      </c>
      <c r="BJ83" s="39"/>
      <c r="BK83" s="39"/>
      <c r="BL83" s="39"/>
      <c r="BM83" s="39"/>
      <c r="BN83" s="39"/>
      <c r="BO83" s="40"/>
    </row>
    <row r="84" spans="1:67" ht="20.100000000000001" customHeight="1" thickBot="1" x14ac:dyDescent="0.3">
      <c r="A84" s="108"/>
      <c r="B84" s="109"/>
      <c r="C84" s="109"/>
      <c r="D84" s="109"/>
      <c r="E84" s="109"/>
      <c r="F84" s="109"/>
      <c r="G84" s="109"/>
      <c r="H84" s="110"/>
      <c r="I84" s="92"/>
      <c r="J84" s="93"/>
      <c r="K84" s="93"/>
      <c r="L84" s="93"/>
      <c r="M84" s="93"/>
      <c r="N84" s="93"/>
      <c r="O84" s="93"/>
      <c r="P84" s="93"/>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93"/>
      <c r="AR84" s="93"/>
      <c r="AS84" s="94"/>
      <c r="AT84" s="111"/>
      <c r="AU84" s="111"/>
      <c r="AV84" s="111"/>
      <c r="AW84" s="111"/>
      <c r="AX84" s="111"/>
      <c r="AY84" s="111"/>
      <c r="AZ84" s="111"/>
      <c r="BA84" s="111"/>
      <c r="BB84" s="111"/>
      <c r="BC84" s="111"/>
      <c r="BD84" s="112" t="str">
        <f t="shared" si="10"/>
        <v/>
      </c>
      <c r="BE84" s="112"/>
      <c r="BF84" s="112"/>
      <c r="BG84" s="112"/>
      <c r="BH84" s="112"/>
      <c r="BI84" s="112" t="str">
        <f t="shared" si="11"/>
        <v/>
      </c>
      <c r="BJ84" s="112"/>
      <c r="BK84" s="112"/>
      <c r="BL84" s="112"/>
      <c r="BM84" s="112"/>
      <c r="BN84" s="112"/>
      <c r="BO84" s="113"/>
    </row>
    <row r="85" spans="1:67" ht="3" customHeight="1" x14ac:dyDescent="0.25">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c r="AA85" s="139"/>
      <c r="AB85" s="139"/>
      <c r="AC85" s="139"/>
      <c r="AD85" s="139"/>
      <c r="AE85" s="139"/>
      <c r="AF85" s="139"/>
      <c r="AG85" s="139"/>
      <c r="AH85" s="139"/>
      <c r="AI85" s="139"/>
      <c r="AJ85" s="139"/>
      <c r="AK85" s="139"/>
      <c r="AL85" s="139"/>
      <c r="AM85" s="139"/>
      <c r="AN85" s="139"/>
      <c r="AO85" s="139"/>
      <c r="AP85" s="139"/>
      <c r="AQ85" s="139"/>
      <c r="AR85" s="139"/>
      <c r="AS85" s="139"/>
      <c r="AT85" s="139"/>
      <c r="AU85" s="139"/>
      <c r="AV85" s="139"/>
      <c r="AW85" s="139"/>
      <c r="AX85" s="139"/>
      <c r="AY85" s="139"/>
      <c r="AZ85" s="139"/>
      <c r="BA85" s="139"/>
      <c r="BB85" s="139"/>
      <c r="BC85" s="139"/>
      <c r="BD85" s="139"/>
      <c r="BE85" s="139"/>
      <c r="BF85" s="139"/>
      <c r="BG85" s="139"/>
      <c r="BH85" s="139"/>
      <c r="BI85" s="139"/>
      <c r="BJ85" s="139"/>
      <c r="BK85" s="139"/>
      <c r="BL85" s="139"/>
      <c r="BM85" s="139"/>
      <c r="BN85" s="139"/>
      <c r="BO85" s="139"/>
    </row>
    <row r="86" spans="1:67" ht="22.35" customHeight="1" x14ac:dyDescent="0.25">
      <c r="A86" s="101" t="s">
        <v>42</v>
      </c>
      <c r="B86" s="101"/>
      <c r="C86" s="101"/>
      <c r="D86" s="101"/>
      <c r="E86" s="101"/>
      <c r="F86" s="101"/>
      <c r="G86" s="101"/>
      <c r="H86" s="101"/>
      <c r="I86" s="101"/>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102" t="s">
        <v>8</v>
      </c>
      <c r="AU86" s="102"/>
      <c r="AV86" s="102"/>
      <c r="AW86" s="102"/>
      <c r="AX86" s="102"/>
      <c r="AY86" s="114"/>
      <c r="AZ86" s="114"/>
      <c r="BA86" s="114"/>
      <c r="BB86" s="114"/>
      <c r="BC86" s="114"/>
      <c r="BD86" s="114"/>
      <c r="BE86" s="114"/>
      <c r="BF86" s="114"/>
      <c r="BG86" s="114"/>
      <c r="BH86" s="114"/>
      <c r="BI86" s="114"/>
      <c r="BJ86" s="114"/>
      <c r="BK86" s="114"/>
      <c r="BL86" s="114"/>
      <c r="BM86" s="114"/>
      <c r="BN86" s="114"/>
      <c r="BO86" s="114"/>
    </row>
    <row r="87" spans="1:67" ht="3" customHeight="1" x14ac:dyDescent="0.25">
      <c r="A87" s="140"/>
      <c r="B87" s="140"/>
      <c r="C87" s="140"/>
      <c r="D87" s="140"/>
      <c r="E87" s="140"/>
      <c r="F87" s="140"/>
      <c r="G87" s="140"/>
      <c r="H87" s="140"/>
      <c r="I87" s="140"/>
      <c r="J87" s="140"/>
      <c r="K87" s="140"/>
      <c r="L87" s="140"/>
      <c r="M87" s="140"/>
      <c r="N87" s="140"/>
      <c r="O87" s="140"/>
      <c r="P87" s="140"/>
      <c r="Q87" s="140"/>
      <c r="R87" s="140"/>
      <c r="S87" s="140"/>
      <c r="T87" s="140"/>
      <c r="U87" s="140"/>
      <c r="V87" s="140"/>
      <c r="W87" s="140"/>
      <c r="X87" s="140"/>
      <c r="Y87" s="140"/>
      <c r="Z87" s="140"/>
      <c r="AA87" s="140"/>
      <c r="AB87" s="140"/>
      <c r="AC87" s="140"/>
      <c r="AD87" s="140"/>
      <c r="AE87" s="140"/>
      <c r="AF87" s="140"/>
      <c r="AG87" s="140"/>
      <c r="AH87" s="140"/>
      <c r="AI87" s="140"/>
      <c r="AJ87" s="140"/>
      <c r="AK87" s="140"/>
      <c r="AL87" s="140"/>
      <c r="AM87" s="140"/>
      <c r="AN87" s="140"/>
      <c r="AO87" s="140"/>
      <c r="AP87" s="140"/>
      <c r="AQ87" s="140"/>
      <c r="AR87" s="140"/>
      <c r="AS87" s="140"/>
      <c r="AT87" s="140"/>
      <c r="AU87" s="140"/>
      <c r="AV87" s="140"/>
      <c r="AW87" s="140"/>
      <c r="AX87" s="140"/>
      <c r="AY87" s="140"/>
      <c r="AZ87" s="140"/>
      <c r="BA87" s="140"/>
      <c r="BB87" s="140"/>
      <c r="BC87" s="140"/>
      <c r="BD87" s="140"/>
      <c r="BE87" s="140"/>
      <c r="BF87" s="140"/>
      <c r="BG87" s="140"/>
      <c r="BH87" s="140"/>
      <c r="BI87" s="140"/>
      <c r="BJ87" s="140"/>
      <c r="BK87" s="140"/>
      <c r="BL87" s="140"/>
      <c r="BM87" s="140"/>
      <c r="BN87" s="140"/>
      <c r="BO87" s="140"/>
    </row>
    <row r="88" spans="1:67" ht="9.75" customHeight="1" x14ac:dyDescent="0.25">
      <c r="A88" s="98"/>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c r="AD88" s="145"/>
      <c r="AE88" s="145"/>
      <c r="AF88" s="145"/>
      <c r="AG88" s="145"/>
      <c r="AH88" s="145"/>
      <c r="AI88" s="145"/>
      <c r="AJ88" s="145"/>
      <c r="AK88" s="145"/>
      <c r="AL88" s="145"/>
      <c r="AM88" s="145"/>
      <c r="AN88" s="145"/>
      <c r="AO88" s="145"/>
      <c r="AP88" s="145"/>
      <c r="AQ88" s="145"/>
      <c r="AR88" s="145"/>
      <c r="AS88" s="145"/>
      <c r="AT88" s="145"/>
      <c r="AU88" s="145"/>
      <c r="AV88" s="145"/>
      <c r="AW88" s="145"/>
      <c r="AX88" s="145"/>
      <c r="AY88" s="145"/>
      <c r="AZ88" s="145"/>
      <c r="BA88" s="145"/>
      <c r="BB88" s="145"/>
      <c r="BC88" s="145"/>
      <c r="BD88" s="145"/>
      <c r="BE88" s="145"/>
      <c r="BF88" s="145"/>
      <c r="BG88" s="145"/>
      <c r="BH88" s="145"/>
      <c r="BI88" s="145"/>
      <c r="BJ88" s="145"/>
      <c r="BK88" s="145"/>
      <c r="BL88" s="145"/>
      <c r="BM88" s="145"/>
      <c r="BN88" s="145"/>
      <c r="BO88" s="145"/>
    </row>
    <row r="89" spans="1:67" ht="3" customHeight="1" x14ac:dyDescent="0.25">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row>
    <row r="90" spans="1:67" x14ac:dyDescent="0.25">
      <c r="A90" s="46" t="s">
        <v>75</v>
      </c>
      <c r="B90" s="46"/>
      <c r="C90" s="46"/>
      <c r="D90" s="46"/>
      <c r="E90" s="46"/>
      <c r="F90" s="46"/>
      <c r="G90" s="46"/>
      <c r="H90" s="46"/>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c r="AK90" s="77"/>
      <c r="AL90" s="77"/>
      <c r="AM90" s="77"/>
      <c r="AN90" s="77"/>
      <c r="AO90" s="77"/>
      <c r="AP90" s="77"/>
      <c r="AQ90" s="77"/>
      <c r="AR90" s="77"/>
      <c r="AS90" s="77"/>
      <c r="AT90" s="77"/>
      <c r="AU90" s="77"/>
      <c r="AV90" s="77"/>
      <c r="AW90" s="77"/>
      <c r="AX90" s="77"/>
      <c r="AY90" s="77"/>
      <c r="AZ90" s="77"/>
      <c r="BA90" s="77"/>
      <c r="BB90" s="70" t="s">
        <v>49</v>
      </c>
      <c r="BC90" s="70"/>
      <c r="BD90" s="70"/>
      <c r="BE90" s="70"/>
      <c r="BF90" s="70"/>
      <c r="BG90" s="70"/>
      <c r="BH90" s="70"/>
      <c r="BI90" s="70"/>
      <c r="BJ90" s="70"/>
      <c r="BK90" s="144" t="str">
        <f>IF(OR(FRONT!BD43="",FRONT!BD86="",BD23="",BD66=""),"",IFERROR(ROUND(AVERAGE(FRONT!BD43,FRONT!BD86,BD23,BD66),0),""))</f>
        <v/>
      </c>
      <c r="BL90" s="144"/>
      <c r="BM90" s="144"/>
      <c r="BN90" s="144"/>
      <c r="BO90" s="144"/>
    </row>
    <row r="91" spans="1:67" x14ac:dyDescent="0.25">
      <c r="A91" s="46" t="s">
        <v>99</v>
      </c>
      <c r="B91" s="46"/>
      <c r="C91" s="46"/>
      <c r="D91" s="46"/>
      <c r="E91" s="46"/>
      <c r="F91" s="46"/>
      <c r="G91" s="46"/>
      <c r="H91" s="46"/>
      <c r="I91" s="154"/>
      <c r="J91" s="154"/>
      <c r="K91" s="154"/>
      <c r="L91" s="154"/>
      <c r="M91" s="154"/>
      <c r="N91" s="154"/>
      <c r="O91" s="154"/>
      <c r="P91" s="154"/>
      <c r="Q91" s="154"/>
      <c r="R91" s="154"/>
      <c r="S91" s="154"/>
      <c r="T91" s="154"/>
      <c r="U91" s="154"/>
      <c r="V91" s="154"/>
      <c r="W91" s="154"/>
      <c r="X91" s="154"/>
      <c r="Y91" s="154"/>
      <c r="Z91" s="154"/>
      <c r="AA91" s="154"/>
      <c r="AB91" s="154"/>
      <c r="AC91" s="154"/>
      <c r="AD91" s="154"/>
      <c r="AE91" s="154"/>
      <c r="AF91" s="154"/>
      <c r="AG91" s="154"/>
      <c r="AH91" s="154"/>
      <c r="AI91" s="154"/>
      <c r="AJ91" s="154"/>
      <c r="AK91" s="154"/>
      <c r="AL91" s="154"/>
      <c r="AM91" s="154"/>
      <c r="AN91" s="154"/>
      <c r="AO91" s="154"/>
      <c r="AP91" s="154"/>
      <c r="AQ91" s="154"/>
      <c r="AR91" s="154"/>
      <c r="AS91" s="154"/>
      <c r="AT91" s="70" t="s">
        <v>48</v>
      </c>
      <c r="AU91" s="70"/>
      <c r="AV91" s="70"/>
      <c r="AW91" s="70"/>
      <c r="AX91" s="70"/>
      <c r="AY91" s="70"/>
      <c r="AZ91" s="70"/>
      <c r="BA91" s="70"/>
      <c r="BB91" s="70"/>
      <c r="BC91" s="70"/>
      <c r="BD91" s="70"/>
      <c r="BE91" s="70"/>
      <c r="BF91" s="70"/>
      <c r="BG91" s="70"/>
      <c r="BH91" s="70"/>
      <c r="BI91" s="78"/>
      <c r="BJ91" s="78"/>
      <c r="BK91" s="78"/>
      <c r="BL91" s="78"/>
      <c r="BM91" s="78"/>
      <c r="BN91" s="78"/>
      <c r="BO91" s="78"/>
    </row>
    <row r="92" spans="1:67" ht="3" customHeight="1" x14ac:dyDescent="0.25">
      <c r="A92" s="99"/>
      <c r="B92" s="99"/>
      <c r="C92" s="99"/>
      <c r="D92" s="99"/>
      <c r="E92" s="99"/>
      <c r="F92" s="99"/>
      <c r="G92" s="99"/>
      <c r="H92" s="99"/>
      <c r="I92" s="99"/>
      <c r="J92" s="99"/>
      <c r="K92" s="99"/>
      <c r="L92" s="99"/>
      <c r="M92" s="99"/>
      <c r="N92" s="99"/>
      <c r="O92" s="99"/>
      <c r="P92" s="99"/>
      <c r="Q92" s="99"/>
      <c r="R92" s="99"/>
      <c r="S92" s="99"/>
      <c r="T92" s="99"/>
      <c r="U92" s="99"/>
      <c r="V92" s="99"/>
      <c r="W92" s="99"/>
      <c r="X92" s="99"/>
      <c r="Y92" s="99"/>
      <c r="Z92" s="99"/>
      <c r="AA92" s="99"/>
      <c r="AB92" s="99"/>
      <c r="AC92" s="99"/>
      <c r="AD92" s="99"/>
      <c r="AE92" s="99"/>
      <c r="AF92" s="99"/>
      <c r="AG92" s="99"/>
      <c r="AH92" s="99"/>
      <c r="AI92" s="99"/>
      <c r="AJ92" s="99"/>
      <c r="AK92" s="99"/>
      <c r="AL92" s="99"/>
      <c r="AM92" s="99"/>
      <c r="AN92" s="99"/>
      <c r="AO92" s="99"/>
      <c r="AP92" s="99"/>
      <c r="AQ92" s="99"/>
      <c r="AR92" s="99"/>
      <c r="AS92" s="99"/>
      <c r="AT92" s="99"/>
      <c r="AU92" s="99"/>
      <c r="AV92" s="99"/>
      <c r="AW92" s="99"/>
      <c r="AX92" s="99"/>
      <c r="AY92" s="99"/>
      <c r="AZ92" s="99"/>
      <c r="BA92" s="99"/>
      <c r="BB92" s="99"/>
      <c r="BC92" s="99"/>
      <c r="BD92" s="99"/>
      <c r="BE92" s="99"/>
      <c r="BF92" s="99"/>
      <c r="BG92" s="99"/>
      <c r="BH92" s="99"/>
      <c r="BI92" s="99"/>
      <c r="BJ92" s="99"/>
      <c r="BK92" s="99"/>
      <c r="BL92" s="99"/>
      <c r="BM92" s="99"/>
      <c r="BN92" s="99"/>
      <c r="BO92" s="99"/>
    </row>
    <row r="93" spans="1:67" x14ac:dyDescent="0.25">
      <c r="A93" s="46" t="s">
        <v>47</v>
      </c>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8" t="s">
        <v>81</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25">
      <c r="A94" s="141"/>
      <c r="B94" s="141"/>
      <c r="C94" s="141"/>
      <c r="D94" s="141"/>
      <c r="E94" s="141"/>
      <c r="F94" s="141"/>
      <c r="G94" s="141"/>
      <c r="H94" s="141"/>
      <c r="I94" s="141"/>
      <c r="J94" s="141"/>
      <c r="K94" s="141"/>
      <c r="L94" s="141"/>
      <c r="M94" s="141"/>
      <c r="N94" s="141"/>
      <c r="O94" s="141"/>
      <c r="P94" s="141"/>
      <c r="Q94" s="3"/>
      <c r="R94" s="3"/>
      <c r="S94" s="3"/>
      <c r="T94" s="142"/>
      <c r="U94" s="142"/>
      <c r="V94" s="142"/>
      <c r="W94" s="142"/>
      <c r="X94" s="142"/>
      <c r="Y94" s="142"/>
      <c r="Z94" s="142"/>
      <c r="AA94" s="142"/>
      <c r="AB94" s="142"/>
      <c r="AC94" s="142"/>
      <c r="AD94" s="142"/>
      <c r="AE94" s="3"/>
      <c r="AF94" s="3"/>
      <c r="AH94" s="3"/>
      <c r="AI94" s="3"/>
      <c r="AJ94" s="149"/>
      <c r="AK94" s="150"/>
      <c r="AL94" s="150"/>
      <c r="AM94" s="150"/>
      <c r="AN94" s="150"/>
      <c r="AO94" s="150"/>
      <c r="AP94" s="150"/>
      <c r="AQ94" s="150"/>
      <c r="AR94" s="150"/>
      <c r="AS94" s="150"/>
      <c r="AT94" s="150"/>
      <c r="AU94" s="150"/>
      <c r="AV94" s="150"/>
      <c r="AW94" s="150"/>
      <c r="AX94" s="150"/>
      <c r="AY94" s="150"/>
      <c r="AZ94" s="150"/>
      <c r="BA94" s="150"/>
      <c r="BB94" s="150"/>
      <c r="BC94" s="150"/>
      <c r="BD94" s="150"/>
      <c r="BE94" s="150"/>
      <c r="BF94" s="150"/>
      <c r="BG94" s="150"/>
      <c r="BH94" s="150"/>
      <c r="BI94" s="150"/>
      <c r="BJ94" s="150"/>
      <c r="BK94" s="150"/>
      <c r="BL94" s="150"/>
      <c r="BM94" s="150"/>
      <c r="BN94" s="150"/>
      <c r="BO94" s="150"/>
    </row>
    <row r="95" spans="1:67" ht="11.25" customHeight="1" x14ac:dyDescent="0.25">
      <c r="A95" s="141"/>
      <c r="B95" s="141"/>
      <c r="C95" s="141"/>
      <c r="D95" s="141"/>
      <c r="E95" s="141"/>
      <c r="F95" s="141"/>
      <c r="G95" s="141"/>
      <c r="H95" s="141"/>
      <c r="I95" s="141"/>
      <c r="J95" s="141"/>
      <c r="K95" s="141"/>
      <c r="L95" s="141"/>
      <c r="M95" s="141"/>
      <c r="N95" s="141"/>
      <c r="O95" s="141"/>
      <c r="P95" s="141"/>
      <c r="Q95" s="3"/>
      <c r="R95" s="3"/>
      <c r="S95" s="3"/>
      <c r="T95" s="142"/>
      <c r="U95" s="142"/>
      <c r="V95" s="142"/>
      <c r="W95" s="142"/>
      <c r="X95" s="142"/>
      <c r="Y95" s="142"/>
      <c r="Z95" s="142"/>
      <c r="AA95" s="142"/>
      <c r="AB95" s="142"/>
      <c r="AC95" s="142"/>
      <c r="AD95" s="142"/>
      <c r="AE95" s="3"/>
      <c r="AF95" s="3"/>
      <c r="AG95" s="14"/>
      <c r="AH95" s="14"/>
      <c r="AI95" s="14"/>
      <c r="AJ95" s="149"/>
      <c r="AK95" s="150"/>
      <c r="AL95" s="150"/>
      <c r="AM95" s="150"/>
      <c r="AN95" s="150"/>
      <c r="AO95" s="150"/>
      <c r="AP95" s="150"/>
      <c r="AQ95" s="150"/>
      <c r="AR95" s="150"/>
      <c r="AS95" s="150"/>
      <c r="AT95" s="150"/>
      <c r="AU95" s="150"/>
      <c r="AV95" s="150"/>
      <c r="AW95" s="150"/>
      <c r="AX95" s="150"/>
      <c r="AY95" s="150"/>
      <c r="AZ95" s="150"/>
      <c r="BA95" s="150"/>
      <c r="BB95" s="150"/>
      <c r="BC95" s="150"/>
      <c r="BD95" s="150"/>
      <c r="BE95" s="150"/>
      <c r="BF95" s="150"/>
      <c r="BG95" s="150"/>
      <c r="BH95" s="150"/>
      <c r="BI95" s="150"/>
      <c r="BJ95" s="150"/>
      <c r="BK95" s="150"/>
      <c r="BL95" s="150"/>
      <c r="BM95" s="150"/>
      <c r="BN95" s="150"/>
      <c r="BO95" s="150"/>
    </row>
    <row r="96" spans="1:67" ht="11.25" customHeight="1" x14ac:dyDescent="0.25">
      <c r="A96" s="130"/>
      <c r="B96" s="130"/>
      <c r="C96" s="130"/>
      <c r="D96" s="130"/>
      <c r="E96" s="130"/>
      <c r="F96" s="130"/>
      <c r="G96" s="130"/>
      <c r="H96" s="130"/>
      <c r="I96" s="130"/>
      <c r="J96" s="130"/>
      <c r="K96" s="130"/>
      <c r="L96" s="130"/>
      <c r="M96" s="130"/>
      <c r="N96" s="130"/>
      <c r="O96" s="130"/>
      <c r="P96" s="130"/>
      <c r="Q96" s="3"/>
      <c r="R96" s="3"/>
      <c r="S96" s="3"/>
      <c r="T96" s="143"/>
      <c r="U96" s="143"/>
      <c r="V96" s="143"/>
      <c r="W96" s="143"/>
      <c r="X96" s="143"/>
      <c r="Y96" s="143"/>
      <c r="Z96" s="143"/>
      <c r="AA96" s="143"/>
      <c r="AB96" s="143"/>
      <c r="AC96" s="143"/>
      <c r="AD96" s="143"/>
      <c r="AE96" s="3"/>
      <c r="AF96" s="3"/>
      <c r="AG96" s="14"/>
      <c r="AH96" s="14"/>
      <c r="AI96" s="14"/>
      <c r="AJ96" s="149"/>
      <c r="AK96" s="150"/>
      <c r="AL96" s="150"/>
      <c r="AM96" s="150"/>
      <c r="AN96" s="150"/>
      <c r="AO96" s="150"/>
      <c r="AP96" s="150"/>
      <c r="AQ96" s="150"/>
      <c r="AR96" s="150"/>
      <c r="AS96" s="150"/>
      <c r="AT96" s="150"/>
      <c r="AU96" s="150"/>
      <c r="AV96" s="150"/>
      <c r="AW96" s="150"/>
      <c r="AX96" s="150"/>
      <c r="AY96" s="150"/>
      <c r="AZ96" s="150"/>
      <c r="BA96" s="150"/>
      <c r="BB96" s="150"/>
      <c r="BC96" s="150"/>
      <c r="BD96" s="150"/>
      <c r="BE96" s="150"/>
      <c r="BF96" s="150"/>
      <c r="BG96" s="150"/>
      <c r="BH96" s="150"/>
      <c r="BI96" s="150"/>
      <c r="BJ96" s="150"/>
      <c r="BK96" s="150"/>
      <c r="BL96" s="150"/>
      <c r="BM96" s="150"/>
      <c r="BN96" s="150"/>
      <c r="BO96" s="150"/>
    </row>
    <row r="97" spans="1:67" ht="13.5" customHeight="1" x14ac:dyDescent="0.25">
      <c r="A97" s="79" t="s">
        <v>80</v>
      </c>
      <c r="B97" s="79"/>
      <c r="C97" s="79"/>
      <c r="D97" s="79"/>
      <c r="E97" s="79"/>
      <c r="F97" s="79"/>
      <c r="G97" s="79"/>
      <c r="H97" s="79"/>
      <c r="I97" s="79"/>
      <c r="J97" s="79"/>
      <c r="K97" s="79"/>
      <c r="L97" s="79"/>
      <c r="M97" s="79"/>
      <c r="N97" s="79"/>
      <c r="O97" s="79"/>
      <c r="P97" s="79"/>
      <c r="Q97" s="3"/>
      <c r="R97" s="3"/>
      <c r="S97" s="3"/>
      <c r="T97" s="79" t="s">
        <v>50</v>
      </c>
      <c r="U97" s="79"/>
      <c r="V97" s="79"/>
      <c r="W97" s="79"/>
      <c r="X97" s="79"/>
      <c r="Y97" s="79"/>
      <c r="Z97" s="79"/>
      <c r="AA97" s="79"/>
      <c r="AB97" s="79"/>
      <c r="AC97" s="79"/>
      <c r="AD97" s="79"/>
      <c r="AE97" s="3"/>
      <c r="AF97" s="3"/>
      <c r="AG97" s="14"/>
      <c r="AH97" s="14"/>
      <c r="AI97" s="14"/>
      <c r="AJ97" s="149"/>
      <c r="AK97" s="150"/>
      <c r="AL97" s="150"/>
      <c r="AM97" s="150"/>
      <c r="AN97" s="150"/>
      <c r="AO97" s="150"/>
      <c r="AP97" s="150"/>
      <c r="AQ97" s="150"/>
      <c r="AR97" s="150"/>
      <c r="AS97" s="150"/>
      <c r="AT97" s="150"/>
      <c r="AU97" s="150"/>
      <c r="AV97" s="150"/>
      <c r="AW97" s="150"/>
      <c r="AX97" s="150"/>
      <c r="AY97" s="150"/>
      <c r="AZ97" s="150"/>
      <c r="BA97" s="150"/>
      <c r="BB97" s="150"/>
      <c r="BC97" s="150"/>
      <c r="BD97" s="150"/>
      <c r="BE97" s="150"/>
      <c r="BF97" s="150"/>
      <c r="BG97" s="150"/>
      <c r="BH97" s="150"/>
      <c r="BI97" s="150"/>
      <c r="BJ97" s="150"/>
      <c r="BK97" s="150"/>
      <c r="BL97" s="150"/>
      <c r="BM97" s="150"/>
      <c r="BN97" s="150"/>
      <c r="BO97" s="150"/>
    </row>
    <row r="98" spans="1:67" ht="3" customHeight="1" x14ac:dyDescent="0.25">
      <c r="A98" s="148"/>
      <c r="B98" s="148"/>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8"/>
      <c r="AA98" s="148"/>
      <c r="AB98" s="148"/>
      <c r="AC98" s="148"/>
      <c r="AD98" s="148"/>
      <c r="AE98" s="148"/>
      <c r="AF98" s="148"/>
      <c r="AG98" s="148"/>
      <c r="AH98" s="148"/>
      <c r="AI98" s="14"/>
      <c r="AJ98" s="149"/>
      <c r="AK98" s="150"/>
      <c r="AL98" s="150"/>
      <c r="AM98" s="150"/>
      <c r="AN98" s="150"/>
      <c r="AO98" s="150"/>
      <c r="AP98" s="150"/>
      <c r="AQ98" s="150"/>
      <c r="AR98" s="150"/>
      <c r="AS98" s="150"/>
      <c r="AT98" s="150"/>
      <c r="AU98" s="150"/>
      <c r="AV98" s="150"/>
      <c r="AW98" s="150"/>
      <c r="AX98" s="150"/>
      <c r="AY98" s="150"/>
      <c r="AZ98" s="150"/>
      <c r="BA98" s="150"/>
      <c r="BB98" s="150"/>
      <c r="BC98" s="150"/>
      <c r="BD98" s="150"/>
      <c r="BE98" s="150"/>
      <c r="BF98" s="150"/>
      <c r="BG98" s="150"/>
      <c r="BH98" s="150"/>
      <c r="BI98" s="150"/>
      <c r="BJ98" s="150"/>
      <c r="BK98" s="150"/>
      <c r="BL98" s="150"/>
      <c r="BM98" s="150"/>
      <c r="BN98" s="150"/>
      <c r="BO98" s="150"/>
    </row>
    <row r="99" spans="1:67" x14ac:dyDescent="0.25">
      <c r="A99" s="15" t="s">
        <v>7</v>
      </c>
      <c r="B99" s="16"/>
      <c r="C99" s="16"/>
      <c r="D99" s="16"/>
      <c r="E99" s="16"/>
      <c r="F99" s="16"/>
      <c r="G99" s="16"/>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8"/>
      <c r="AH99" s="19"/>
      <c r="AI99" s="14"/>
      <c r="AJ99" s="149"/>
      <c r="AK99" s="150"/>
      <c r="AL99" s="150"/>
      <c r="AM99" s="150"/>
      <c r="AN99" s="150"/>
      <c r="AO99" s="150"/>
      <c r="AP99" s="150"/>
      <c r="AQ99" s="150"/>
      <c r="AR99" s="150"/>
      <c r="AS99" s="150"/>
      <c r="AT99" s="150"/>
      <c r="AU99" s="150"/>
      <c r="AV99" s="150"/>
      <c r="AW99" s="150"/>
      <c r="AX99" s="150"/>
      <c r="AY99" s="150"/>
      <c r="AZ99" s="150"/>
      <c r="BA99" s="150"/>
      <c r="BB99" s="150"/>
      <c r="BC99" s="150"/>
      <c r="BD99" s="150"/>
      <c r="BE99" s="150"/>
      <c r="BF99" s="150"/>
      <c r="BG99" s="150"/>
      <c r="BH99" s="150"/>
      <c r="BI99" s="150"/>
      <c r="BJ99" s="150"/>
      <c r="BK99" s="150"/>
      <c r="BL99" s="150"/>
      <c r="BM99" s="150"/>
      <c r="BN99" s="150"/>
      <c r="BO99" s="150"/>
    </row>
    <row r="100" spans="1:67" ht="12" customHeight="1" x14ac:dyDescent="0.25">
      <c r="A100" s="133" t="s">
        <v>88</v>
      </c>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c r="AA100" s="134"/>
      <c r="AB100" s="134"/>
      <c r="AC100" s="134"/>
      <c r="AD100" s="134"/>
      <c r="AE100" s="134"/>
      <c r="AF100" s="134"/>
      <c r="AG100" s="134"/>
      <c r="AH100" s="135"/>
      <c r="AI100" s="14"/>
      <c r="AJ100" s="149"/>
      <c r="AK100" s="150"/>
      <c r="AL100" s="150"/>
      <c r="AM100" s="150"/>
      <c r="AN100" s="150"/>
      <c r="AO100" s="150"/>
      <c r="AP100" s="150"/>
      <c r="AQ100" s="150"/>
      <c r="AR100" s="150"/>
      <c r="AS100" s="150"/>
      <c r="AT100" s="150"/>
      <c r="AU100" s="150"/>
      <c r="AV100" s="150"/>
      <c r="AW100" s="150"/>
      <c r="AX100" s="150"/>
      <c r="AY100" s="150"/>
      <c r="AZ100" s="150"/>
      <c r="BA100" s="150"/>
      <c r="BB100" s="150"/>
      <c r="BC100" s="150"/>
      <c r="BD100" s="150"/>
      <c r="BE100" s="150"/>
      <c r="BF100" s="150"/>
      <c r="BG100" s="150"/>
      <c r="BH100" s="150"/>
      <c r="BI100" s="150"/>
      <c r="BJ100" s="150"/>
      <c r="BK100" s="150"/>
      <c r="BL100" s="150"/>
      <c r="BM100" s="150"/>
      <c r="BN100" s="150"/>
      <c r="BO100" s="150"/>
    </row>
    <row r="101" spans="1:67" s="3" customFormat="1" ht="12" customHeight="1" x14ac:dyDescent="0.25">
      <c r="A101" s="133"/>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c r="AA101" s="134"/>
      <c r="AB101" s="134"/>
      <c r="AC101" s="134"/>
      <c r="AD101" s="134"/>
      <c r="AE101" s="134"/>
      <c r="AF101" s="134"/>
      <c r="AG101" s="134"/>
      <c r="AH101" s="135"/>
      <c r="AI101" s="14"/>
      <c r="AJ101" s="149"/>
      <c r="AK101" s="150"/>
      <c r="AL101" s="150"/>
      <c r="AM101" s="150"/>
      <c r="AN101" s="150"/>
      <c r="AO101" s="150"/>
      <c r="AP101" s="150"/>
      <c r="AQ101" s="150"/>
      <c r="AR101" s="150"/>
      <c r="AS101" s="150"/>
      <c r="AT101" s="150"/>
      <c r="AU101" s="150"/>
      <c r="AV101" s="150"/>
      <c r="AW101" s="150"/>
      <c r="AX101" s="150"/>
      <c r="AY101" s="150"/>
      <c r="AZ101" s="150"/>
      <c r="BA101" s="150"/>
      <c r="BB101" s="150"/>
      <c r="BC101" s="150"/>
      <c r="BD101" s="150"/>
      <c r="BE101" s="150"/>
      <c r="BF101" s="150"/>
      <c r="BG101" s="150"/>
      <c r="BH101" s="150"/>
      <c r="BI101" s="150"/>
      <c r="BJ101" s="150"/>
      <c r="BK101" s="150"/>
      <c r="BL101" s="150"/>
      <c r="BM101" s="150"/>
      <c r="BN101" s="150"/>
      <c r="BO101" s="150"/>
    </row>
    <row r="102" spans="1:67" s="3" customFormat="1" ht="12" customHeight="1" x14ac:dyDescent="0.25">
      <c r="A102" s="133"/>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c r="AA102" s="134"/>
      <c r="AB102" s="134"/>
      <c r="AC102" s="134"/>
      <c r="AD102" s="134"/>
      <c r="AE102" s="134"/>
      <c r="AF102" s="134"/>
      <c r="AG102" s="134"/>
      <c r="AH102" s="135"/>
      <c r="AI102" s="14"/>
      <c r="AJ102" s="149"/>
      <c r="AK102" s="150"/>
      <c r="AL102" s="150"/>
      <c r="AM102" s="150"/>
      <c r="AN102" s="150"/>
      <c r="AO102" s="150"/>
      <c r="AP102" s="150"/>
      <c r="AQ102" s="150"/>
      <c r="AR102" s="150"/>
      <c r="AS102" s="150"/>
      <c r="AT102" s="150"/>
      <c r="AU102" s="150"/>
      <c r="AV102" s="150"/>
      <c r="AW102" s="150"/>
      <c r="AX102" s="150"/>
      <c r="AY102" s="150"/>
      <c r="AZ102" s="150"/>
      <c r="BA102" s="150"/>
      <c r="BB102" s="150"/>
      <c r="BC102" s="150"/>
      <c r="BD102" s="150"/>
      <c r="BE102" s="150"/>
      <c r="BF102" s="150"/>
      <c r="BG102" s="150"/>
      <c r="BH102" s="150"/>
      <c r="BI102" s="150"/>
      <c r="BJ102" s="150"/>
      <c r="BK102" s="150"/>
      <c r="BL102" s="150"/>
      <c r="BM102" s="150"/>
      <c r="BN102" s="150"/>
      <c r="BO102" s="150"/>
    </row>
    <row r="103" spans="1:67" s="3" customFormat="1" ht="12" customHeight="1" x14ac:dyDescent="0.25">
      <c r="A103" s="133"/>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c r="AA103" s="134"/>
      <c r="AB103" s="134"/>
      <c r="AC103" s="134"/>
      <c r="AD103" s="134"/>
      <c r="AE103" s="134"/>
      <c r="AF103" s="134"/>
      <c r="AG103" s="134"/>
      <c r="AH103" s="135"/>
      <c r="AI103" s="14"/>
      <c r="AJ103" s="149"/>
      <c r="AK103" s="150"/>
      <c r="AL103" s="150"/>
      <c r="AM103" s="150"/>
      <c r="AN103" s="150"/>
      <c r="AO103" s="150"/>
      <c r="AP103" s="150"/>
      <c r="AQ103" s="150"/>
      <c r="AR103" s="150"/>
      <c r="AS103" s="150"/>
      <c r="AT103" s="150"/>
      <c r="AU103" s="150"/>
      <c r="AV103" s="150"/>
      <c r="AW103" s="150"/>
      <c r="AX103" s="150"/>
      <c r="AY103" s="150"/>
      <c r="AZ103" s="150"/>
      <c r="BA103" s="150"/>
      <c r="BB103" s="150"/>
      <c r="BC103" s="150"/>
      <c r="BD103" s="150"/>
      <c r="BE103" s="150"/>
      <c r="BF103" s="150"/>
      <c r="BG103" s="150"/>
      <c r="BH103" s="150"/>
      <c r="BI103" s="150"/>
      <c r="BJ103" s="150"/>
      <c r="BK103" s="150"/>
      <c r="BL103" s="150"/>
      <c r="BM103" s="150"/>
      <c r="BN103" s="150"/>
      <c r="BO103" s="150"/>
    </row>
    <row r="104" spans="1:67" s="3" customFormat="1" ht="12" customHeight="1" x14ac:dyDescent="0.25">
      <c r="A104" s="133"/>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5"/>
      <c r="AI104" s="14"/>
      <c r="AJ104" s="149"/>
      <c r="AK104" s="150"/>
      <c r="AL104" s="150"/>
      <c r="AM104" s="150"/>
      <c r="AN104" s="150"/>
      <c r="AO104" s="150"/>
      <c r="AP104" s="150"/>
      <c r="AQ104" s="150"/>
      <c r="AR104" s="150"/>
      <c r="AS104" s="150"/>
      <c r="AT104" s="150"/>
      <c r="AU104" s="150"/>
      <c r="AV104" s="150"/>
      <c r="AW104" s="150"/>
      <c r="AX104" s="150"/>
      <c r="AY104" s="150"/>
      <c r="AZ104" s="150"/>
      <c r="BA104" s="150"/>
      <c r="BB104" s="150"/>
      <c r="BC104" s="150"/>
      <c r="BD104" s="150"/>
      <c r="BE104" s="150"/>
      <c r="BF104" s="150"/>
      <c r="BG104" s="150"/>
      <c r="BH104" s="150"/>
      <c r="BI104" s="150"/>
      <c r="BJ104" s="150"/>
      <c r="BK104" s="150"/>
      <c r="BL104" s="150"/>
      <c r="BM104" s="150"/>
      <c r="BN104" s="150"/>
      <c r="BO104" s="150"/>
    </row>
    <row r="105" spans="1:67" s="3" customFormat="1" ht="12" customHeight="1" x14ac:dyDescent="0.25">
      <c r="A105" s="133"/>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c r="AA105" s="134"/>
      <c r="AB105" s="134"/>
      <c r="AC105" s="134"/>
      <c r="AD105" s="134"/>
      <c r="AE105" s="134"/>
      <c r="AF105" s="134"/>
      <c r="AG105" s="134"/>
      <c r="AH105" s="135"/>
      <c r="AI105" s="10"/>
      <c r="AJ105" s="149"/>
      <c r="AK105" s="150"/>
      <c r="AL105" s="150"/>
      <c r="AM105" s="150"/>
      <c r="AN105" s="150"/>
      <c r="AO105" s="150"/>
      <c r="AP105" s="150"/>
      <c r="AQ105" s="150"/>
      <c r="AR105" s="150"/>
      <c r="AS105" s="150"/>
      <c r="AT105" s="150"/>
      <c r="AU105" s="150"/>
      <c r="AV105" s="150"/>
      <c r="AW105" s="150"/>
      <c r="AX105" s="150"/>
      <c r="AY105" s="150"/>
      <c r="AZ105" s="150"/>
      <c r="BA105" s="150"/>
      <c r="BB105" s="150"/>
      <c r="BC105" s="150"/>
      <c r="BD105" s="150"/>
      <c r="BE105" s="150"/>
      <c r="BF105" s="150"/>
      <c r="BG105" s="150"/>
      <c r="BH105" s="150"/>
      <c r="BI105" s="150"/>
      <c r="BJ105" s="150"/>
      <c r="BK105" s="150"/>
      <c r="BL105" s="150"/>
      <c r="BM105" s="150"/>
      <c r="BN105" s="150"/>
      <c r="BO105" s="150"/>
    </row>
    <row r="106" spans="1:67" s="3" customFormat="1" ht="12" customHeight="1" x14ac:dyDescent="0.25">
      <c r="A106" s="133"/>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c r="AA106" s="134"/>
      <c r="AB106" s="134"/>
      <c r="AC106" s="134"/>
      <c r="AD106" s="134"/>
      <c r="AE106" s="134"/>
      <c r="AF106" s="134"/>
      <c r="AG106" s="134"/>
      <c r="AH106" s="135"/>
      <c r="AJ106" s="149"/>
      <c r="AK106" s="150"/>
      <c r="AL106" s="150"/>
      <c r="AM106" s="150"/>
      <c r="AN106" s="150"/>
      <c r="AO106" s="150"/>
      <c r="AP106" s="150"/>
      <c r="AQ106" s="150"/>
      <c r="AR106" s="150"/>
      <c r="AS106" s="150"/>
      <c r="AT106" s="150"/>
      <c r="AU106" s="150"/>
      <c r="AV106" s="150"/>
      <c r="AW106" s="150"/>
      <c r="AX106" s="150"/>
      <c r="AY106" s="150"/>
      <c r="AZ106" s="150"/>
      <c r="BA106" s="150"/>
      <c r="BB106" s="150"/>
      <c r="BC106" s="150"/>
      <c r="BD106" s="150"/>
      <c r="BE106" s="150"/>
      <c r="BF106" s="150"/>
      <c r="BG106" s="150"/>
      <c r="BH106" s="150"/>
      <c r="BI106" s="150"/>
      <c r="BJ106" s="150"/>
      <c r="BK106" s="150"/>
      <c r="BL106" s="150"/>
      <c r="BM106" s="150"/>
      <c r="BN106" s="150"/>
      <c r="BO106" s="150"/>
    </row>
    <row r="107" spans="1:67" s="3" customFormat="1" ht="12" customHeight="1" x14ac:dyDescent="0.25">
      <c r="A107" s="133"/>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c r="AA107" s="134"/>
      <c r="AB107" s="134"/>
      <c r="AC107" s="134"/>
      <c r="AD107" s="134"/>
      <c r="AE107" s="134"/>
      <c r="AF107" s="134"/>
      <c r="AG107" s="134"/>
      <c r="AH107" s="135"/>
      <c r="AJ107" s="149"/>
      <c r="AK107" s="150"/>
      <c r="AL107" s="150"/>
      <c r="AM107" s="150"/>
      <c r="AN107" s="150"/>
      <c r="AO107" s="150"/>
      <c r="AP107" s="150"/>
      <c r="AQ107" s="150"/>
      <c r="AR107" s="150"/>
      <c r="AS107" s="150"/>
      <c r="AT107" s="150"/>
      <c r="AU107" s="150"/>
      <c r="AV107" s="150"/>
      <c r="AW107" s="150"/>
      <c r="AX107" s="150"/>
      <c r="AY107" s="150"/>
      <c r="AZ107" s="150"/>
      <c r="BA107" s="150"/>
      <c r="BB107" s="150"/>
      <c r="BC107" s="150"/>
      <c r="BD107" s="150"/>
      <c r="BE107" s="150"/>
      <c r="BF107" s="150"/>
      <c r="BG107" s="150"/>
      <c r="BH107" s="150"/>
      <c r="BI107" s="150"/>
      <c r="BJ107" s="150"/>
      <c r="BK107" s="150"/>
      <c r="BL107" s="150"/>
      <c r="BM107" s="150"/>
      <c r="BN107" s="150"/>
      <c r="BO107" s="150"/>
    </row>
    <row r="108" spans="1:67" s="3" customFormat="1" ht="12" customHeight="1" x14ac:dyDescent="0.25">
      <c r="A108" s="133"/>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c r="AA108" s="134"/>
      <c r="AB108" s="134"/>
      <c r="AC108" s="134"/>
      <c r="AD108" s="134"/>
      <c r="AE108" s="134"/>
      <c r="AF108" s="134"/>
      <c r="AG108" s="134"/>
      <c r="AH108" s="135"/>
      <c r="AJ108" s="149"/>
      <c r="AK108" s="150"/>
      <c r="AL108" s="150"/>
      <c r="AM108" s="150"/>
      <c r="AN108" s="150"/>
      <c r="AO108" s="150"/>
      <c r="AP108" s="150"/>
      <c r="AQ108" s="150"/>
      <c r="AR108" s="150"/>
      <c r="AS108" s="150"/>
      <c r="AT108" s="150"/>
      <c r="AU108" s="150"/>
      <c r="AV108" s="150"/>
      <c r="AW108" s="150"/>
      <c r="AX108" s="150"/>
      <c r="AY108" s="150"/>
      <c r="AZ108" s="150"/>
      <c r="BA108" s="150"/>
      <c r="BB108" s="150"/>
      <c r="BC108" s="150"/>
      <c r="BD108" s="150"/>
      <c r="BE108" s="150"/>
      <c r="BF108" s="150"/>
      <c r="BG108" s="150"/>
      <c r="BH108" s="150"/>
      <c r="BI108" s="150"/>
      <c r="BJ108" s="150"/>
      <c r="BK108" s="150"/>
      <c r="BL108" s="150"/>
      <c r="BM108" s="150"/>
      <c r="BN108" s="150"/>
      <c r="BO108" s="150"/>
    </row>
    <row r="109" spans="1:67" s="3" customFormat="1" ht="3" customHeight="1" x14ac:dyDescent="0.25">
      <c r="A109" s="136"/>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8"/>
      <c r="AI109" s="20"/>
      <c r="AJ109" s="149"/>
      <c r="AK109" s="150"/>
      <c r="AL109" s="150"/>
      <c r="AM109" s="150"/>
      <c r="AN109" s="150"/>
      <c r="AO109" s="150"/>
      <c r="AP109" s="150"/>
      <c r="AQ109" s="150"/>
      <c r="AR109" s="150"/>
      <c r="AS109" s="150"/>
      <c r="AT109" s="150"/>
      <c r="AU109" s="150"/>
      <c r="AV109" s="150"/>
      <c r="AW109" s="150"/>
      <c r="AX109" s="150"/>
      <c r="AY109" s="150"/>
      <c r="AZ109" s="150"/>
      <c r="BA109" s="150"/>
      <c r="BB109" s="150"/>
      <c r="BC109" s="150"/>
      <c r="BD109" s="150"/>
      <c r="BE109" s="150"/>
      <c r="BF109" s="150"/>
      <c r="BG109" s="150"/>
      <c r="BH109" s="150"/>
      <c r="BI109" s="150"/>
      <c r="BJ109" s="150"/>
      <c r="BK109" s="150"/>
      <c r="BL109" s="150"/>
      <c r="BM109" s="150"/>
      <c r="BN109" s="150"/>
      <c r="BO109" s="150"/>
    </row>
    <row r="110" spans="1:67" s="3" customFormat="1" ht="3" customHeight="1" x14ac:dyDescent="0.25">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c r="AA110" s="99"/>
      <c r="AB110" s="99"/>
      <c r="AC110" s="99"/>
      <c r="AD110" s="99"/>
      <c r="AE110" s="99"/>
      <c r="AF110" s="99"/>
      <c r="AG110" s="99"/>
      <c r="AH110" s="99"/>
      <c r="AI110" s="99"/>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row>
    <row r="111" spans="1:67" s="3" customFormat="1" x14ac:dyDescent="0.25">
      <c r="A111" s="151" t="s">
        <v>84</v>
      </c>
      <c r="B111" s="151"/>
      <c r="C111" s="151"/>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c r="AA111" s="151"/>
      <c r="AB111" s="151"/>
      <c r="AC111" s="151"/>
      <c r="AD111" s="151"/>
      <c r="AE111" s="151"/>
      <c r="AF111" s="151"/>
      <c r="AG111" s="151"/>
      <c r="AH111" s="151"/>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row>
    <row r="112" spans="1:67" ht="12.95" customHeight="1" x14ac:dyDescent="0.25">
      <c r="A112" s="152"/>
      <c r="B112" s="152"/>
      <c r="C112" s="15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c r="AA112" s="152"/>
      <c r="AB112" s="152"/>
      <c r="AC112" s="152"/>
      <c r="AD112" s="152"/>
      <c r="AE112" s="152"/>
      <c r="AF112" s="152"/>
      <c r="AG112" s="152"/>
      <c r="AH112" s="152"/>
    </row>
    <row r="113" spans="1:34" ht="12.95" customHeight="1" x14ac:dyDescent="0.25">
      <c r="A113" s="152"/>
      <c r="B113" s="152"/>
      <c r="C113" s="15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c r="AA113" s="152"/>
      <c r="AB113" s="152"/>
      <c r="AC113" s="152"/>
      <c r="AD113" s="152"/>
      <c r="AE113" s="152"/>
      <c r="AF113" s="152"/>
      <c r="AG113" s="152"/>
      <c r="AH113" s="152"/>
    </row>
    <row r="114" spans="1:34" x14ac:dyDescent="0.25">
      <c r="A114" s="45" t="s">
        <v>98</v>
      </c>
      <c r="B114" s="45"/>
      <c r="C114" s="45"/>
      <c r="D114" s="45"/>
      <c r="E114" s="45"/>
      <c r="F114" s="45"/>
      <c r="G114" s="45"/>
      <c r="H114" s="45"/>
      <c r="I114" s="45"/>
      <c r="J114" s="153"/>
      <c r="K114" s="153"/>
      <c r="L114" s="153"/>
      <c r="M114" s="153"/>
      <c r="N114" s="153"/>
      <c r="O114" s="153"/>
    </row>
    <row r="116" spans="1:34" ht="1.5" customHeight="1" x14ac:dyDescent="0.25"/>
  </sheetData>
  <sheetProtection formatCells="0" selectLockedCells="1"/>
  <dataConsolidate/>
  <mergeCells count="346">
    <mergeCell ref="A112:AH113"/>
    <mergeCell ref="A114:I114"/>
    <mergeCell ref="J114:O114"/>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Y21:BC21"/>
    <mergeCell ref="BD21:BH21"/>
    <mergeCell ref="BD20:BH20"/>
    <mergeCell ref="BI20:BO20"/>
    <mergeCell ref="BI21:BO21"/>
    <mergeCell ref="AT20:AX20"/>
    <mergeCell ref="AY20:BC20"/>
    <mergeCell ref="I20:AS20"/>
    <mergeCell ref="I21:AS21"/>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77:AX80"/>
    <mergeCell ref="AY77:BC80"/>
    <mergeCell ref="BD77:BH80"/>
    <mergeCell ref="BI77:BO80"/>
    <mergeCell ref="A73:S73"/>
    <mergeCell ref="Y73:AS73"/>
    <mergeCell ref="I81:AS81"/>
    <mergeCell ref="I82:AS82"/>
    <mergeCell ref="AT82:AX82"/>
    <mergeCell ref="AY82:BC82"/>
    <mergeCell ref="BD82:BH82"/>
    <mergeCell ref="A75:F75"/>
    <mergeCell ref="G75:R75"/>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s>
  <pageMargins left="0.25" right="0.25" top="0.25" bottom="0" header="0" footer="0"/>
  <pageSetup paperSize="5" scale="59" orientation="portrait" horizontalDpi="4294967293"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2"/>
  <sheetViews>
    <sheetView showGridLines="0" tabSelected="1" zoomScale="70" zoomScaleNormal="70" workbookViewId="0">
      <selection activeCell="J26" sqref="J26"/>
    </sheetView>
  </sheetViews>
  <sheetFormatPr defaultColWidth="10.875" defaultRowHeight="15.75" x14ac:dyDescent="0.25"/>
  <cols>
    <col min="1" max="1" width="2.875" style="3" customWidth="1"/>
    <col min="2" max="2" width="0.875" style="3" customWidth="1"/>
    <col min="3" max="9" width="10.875" style="3"/>
    <col min="10" max="10" width="36.625" style="3" customWidth="1"/>
    <col min="11" max="13" width="10.875" style="3" customWidth="1"/>
    <col min="14" max="16384" width="10.875" style="3"/>
  </cols>
  <sheetData>
    <row r="1" spans="1:13" ht="16.5" thickBot="1" x14ac:dyDescent="0.3">
      <c r="A1" s="4"/>
      <c r="B1" s="21"/>
      <c r="C1" s="21"/>
      <c r="D1" s="21"/>
      <c r="E1" s="21"/>
      <c r="F1" s="21"/>
      <c r="G1" s="21"/>
      <c r="H1" s="21"/>
      <c r="I1" s="2" t="s">
        <v>71</v>
      </c>
    </row>
    <row r="2" spans="1:13" ht="5.25" customHeight="1" x14ac:dyDescent="0.25">
      <c r="A2" s="44"/>
      <c r="B2" s="44"/>
      <c r="C2" s="44"/>
      <c r="D2" s="44"/>
      <c r="E2" s="44"/>
      <c r="F2" s="44"/>
      <c r="G2" s="44"/>
      <c r="H2" s="44"/>
      <c r="I2" s="44"/>
    </row>
    <row r="3" spans="1:13" x14ac:dyDescent="0.25">
      <c r="A3" s="46" t="s">
        <v>53</v>
      </c>
      <c r="B3" s="46"/>
      <c r="C3" s="46"/>
      <c r="D3" s="46"/>
      <c r="E3" s="46"/>
      <c r="F3" s="46"/>
      <c r="G3" s="46"/>
      <c r="H3" s="46"/>
      <c r="I3" s="46"/>
    </row>
    <row r="4" spans="1:13" x14ac:dyDescent="0.25">
      <c r="A4" s="157" t="s">
        <v>51</v>
      </c>
      <c r="B4" s="157"/>
      <c r="C4" s="157"/>
      <c r="D4" s="157"/>
      <c r="E4" s="157"/>
      <c r="F4" s="157"/>
      <c r="G4" s="157"/>
      <c r="H4" s="157"/>
      <c r="I4" s="157"/>
    </row>
    <row r="5" spans="1:13" ht="8.25" customHeight="1" x14ac:dyDescent="0.25">
      <c r="A5" s="99"/>
      <c r="B5" s="99"/>
      <c r="C5" s="99"/>
      <c r="D5" s="99"/>
      <c r="E5" s="99"/>
      <c r="F5" s="99"/>
      <c r="G5" s="99"/>
      <c r="H5" s="99"/>
      <c r="I5" s="99"/>
    </row>
    <row r="6" spans="1:13" x14ac:dyDescent="0.25">
      <c r="A6" s="46" t="s">
        <v>0</v>
      </c>
      <c r="B6" s="46"/>
      <c r="C6" s="46"/>
      <c r="D6" s="46"/>
      <c r="E6" s="46"/>
      <c r="F6" s="46"/>
      <c r="G6" s="46"/>
      <c r="H6" s="46"/>
      <c r="I6" s="46"/>
      <c r="J6" s="22"/>
    </row>
    <row r="7" spans="1:13" x14ac:dyDescent="0.25">
      <c r="A7" s="6"/>
      <c r="C7" s="3" t="s">
        <v>10</v>
      </c>
      <c r="M7" s="23"/>
    </row>
    <row r="8" spans="1:13" x14ac:dyDescent="0.25">
      <c r="A8" s="6"/>
      <c r="C8" s="3" t="s">
        <v>52</v>
      </c>
      <c r="M8" s="23"/>
    </row>
    <row r="9" spans="1:13" x14ac:dyDescent="0.25">
      <c r="A9" s="6"/>
      <c r="C9" s="3" t="s">
        <v>54</v>
      </c>
      <c r="M9" s="23"/>
    </row>
    <row r="10" spans="1:13" x14ac:dyDescent="0.25">
      <c r="A10" s="6"/>
      <c r="C10" s="3" t="s">
        <v>55</v>
      </c>
      <c r="M10" s="23"/>
    </row>
    <row r="11" spans="1:13" x14ac:dyDescent="0.25">
      <c r="A11" s="6"/>
      <c r="C11" s="3" t="s">
        <v>56</v>
      </c>
      <c r="M11" s="23"/>
    </row>
    <row r="12" spans="1:13" x14ac:dyDescent="0.25">
      <c r="A12" s="6"/>
      <c r="C12" s="3" t="s">
        <v>57</v>
      </c>
      <c r="M12" s="23"/>
    </row>
    <row r="13" spans="1:13" x14ac:dyDescent="0.25">
      <c r="A13" s="6"/>
      <c r="C13" s="3" t="s">
        <v>58</v>
      </c>
      <c r="M13" s="23"/>
    </row>
    <row r="14" spans="1:13" x14ac:dyDescent="0.25">
      <c r="A14" s="6"/>
      <c r="C14" s="3" t="s">
        <v>11</v>
      </c>
      <c r="M14" s="23"/>
    </row>
    <row r="15" spans="1:13" x14ac:dyDescent="0.25">
      <c r="A15" s="6"/>
      <c r="C15" s="3" t="s">
        <v>59</v>
      </c>
    </row>
    <row r="16" spans="1:13" x14ac:dyDescent="0.25">
      <c r="A16" s="6"/>
      <c r="C16" s="3" t="s">
        <v>12</v>
      </c>
    </row>
    <row r="17" spans="1:9" x14ac:dyDescent="0.25">
      <c r="A17" s="6"/>
      <c r="C17" s="3" t="s">
        <v>13</v>
      </c>
    </row>
    <row r="18" spans="1:9" x14ac:dyDescent="0.25">
      <c r="A18" s="6"/>
      <c r="C18" s="3" t="s">
        <v>60</v>
      </c>
    </row>
    <row r="19" spans="1:9" x14ac:dyDescent="0.25">
      <c r="A19" s="6"/>
      <c r="C19" s="3" t="s">
        <v>61</v>
      </c>
    </row>
    <row r="20" spans="1:9" x14ac:dyDescent="0.25">
      <c r="A20" s="6"/>
      <c r="C20" s="3" t="s">
        <v>62</v>
      </c>
    </row>
    <row r="21" spans="1:9" x14ac:dyDescent="0.25">
      <c r="A21" s="6"/>
      <c r="C21" s="3" t="s">
        <v>63</v>
      </c>
    </row>
    <row r="22" spans="1:9" x14ac:dyDescent="0.25">
      <c r="A22" s="158" t="s">
        <v>14</v>
      </c>
      <c r="B22" s="158"/>
      <c r="C22" s="158"/>
      <c r="D22" s="158"/>
      <c r="E22" s="158"/>
      <c r="F22" s="158"/>
      <c r="G22" s="158"/>
      <c r="H22" s="158"/>
      <c r="I22" s="158"/>
    </row>
    <row r="23" spans="1:9" x14ac:dyDescent="0.25">
      <c r="A23" s="6"/>
      <c r="C23" s="3" t="s">
        <v>15</v>
      </c>
    </row>
    <row r="24" spans="1:9" x14ac:dyDescent="0.25">
      <c r="A24" s="6"/>
      <c r="C24" s="3" t="s">
        <v>64</v>
      </c>
    </row>
    <row r="25" spans="1:9" x14ac:dyDescent="0.25">
      <c r="A25" s="159" t="s">
        <v>82</v>
      </c>
      <c r="B25" s="159"/>
      <c r="C25" s="159"/>
      <c r="D25" s="159"/>
      <c r="E25" s="159"/>
      <c r="F25" s="159"/>
      <c r="G25" s="159"/>
      <c r="H25" s="159"/>
      <c r="I25" s="159"/>
    </row>
    <row r="26" spans="1:9" x14ac:dyDescent="0.25">
      <c r="A26" s="6"/>
      <c r="C26" s="114"/>
      <c r="D26" s="114"/>
      <c r="E26" s="114"/>
      <c r="F26" s="114"/>
      <c r="G26" s="114"/>
      <c r="H26" s="114"/>
    </row>
    <row r="27" spans="1:9" x14ac:dyDescent="0.25">
      <c r="A27" s="6"/>
      <c r="C27" s="155"/>
      <c r="D27" s="155"/>
      <c r="E27" s="155"/>
      <c r="F27" s="155"/>
      <c r="G27" s="155"/>
      <c r="H27" s="155"/>
    </row>
    <row r="28" spans="1:9" x14ac:dyDescent="0.25">
      <c r="A28" s="99"/>
      <c r="B28" s="99"/>
      <c r="C28" s="99"/>
      <c r="D28" s="99"/>
      <c r="E28" s="99"/>
      <c r="F28" s="99"/>
      <c r="G28" s="99"/>
      <c r="H28" s="99"/>
      <c r="I28" s="99"/>
    </row>
    <row r="29" spans="1:9" x14ac:dyDescent="0.25">
      <c r="A29" s="46" t="s">
        <v>16</v>
      </c>
      <c r="B29" s="46"/>
      <c r="C29" s="46"/>
      <c r="D29" s="46"/>
      <c r="E29" s="46"/>
      <c r="F29" s="46"/>
      <c r="G29" s="46"/>
      <c r="H29" s="46"/>
      <c r="I29" s="46"/>
    </row>
    <row r="30" spans="1:9" x14ac:dyDescent="0.25">
      <c r="A30" s="6"/>
      <c r="C30" s="3" t="s">
        <v>65</v>
      </c>
    </row>
    <row r="31" spans="1:9" x14ac:dyDescent="0.25">
      <c r="A31" s="6"/>
      <c r="C31" s="3" t="s">
        <v>17</v>
      </c>
    </row>
    <row r="32" spans="1:9" x14ac:dyDescent="0.25">
      <c r="A32" s="6"/>
      <c r="C32" s="3" t="s">
        <v>18</v>
      </c>
    </row>
    <row r="33" spans="1:9" x14ac:dyDescent="0.25">
      <c r="A33" s="6"/>
      <c r="C33" s="3" t="s">
        <v>19</v>
      </c>
    </row>
    <row r="34" spans="1:9" x14ac:dyDescent="0.25">
      <c r="A34" s="6"/>
      <c r="C34" s="3" t="s">
        <v>20</v>
      </c>
    </row>
    <row r="35" spans="1:9" x14ac:dyDescent="0.25">
      <c r="A35" s="6"/>
      <c r="C35" s="3" t="s">
        <v>21</v>
      </c>
    </row>
    <row r="36" spans="1:9" x14ac:dyDescent="0.25">
      <c r="A36" s="6"/>
      <c r="C36" s="3" t="s">
        <v>22</v>
      </c>
    </row>
    <row r="37" spans="1:9" ht="11.25" customHeight="1" x14ac:dyDescent="0.25">
      <c r="A37" s="99"/>
      <c r="B37" s="99"/>
      <c r="C37" s="99"/>
      <c r="D37" s="99"/>
      <c r="E37" s="99"/>
      <c r="F37" s="99"/>
      <c r="G37" s="99"/>
      <c r="H37" s="99"/>
      <c r="I37" s="99"/>
    </row>
    <row r="38" spans="1:9" x14ac:dyDescent="0.25">
      <c r="A38" s="46" t="s">
        <v>66</v>
      </c>
      <c r="B38" s="46"/>
      <c r="C38" s="46"/>
      <c r="D38" s="46"/>
      <c r="E38" s="46"/>
      <c r="F38" s="46"/>
      <c r="G38" s="46"/>
      <c r="H38" s="46"/>
      <c r="I38" s="46"/>
    </row>
    <row r="39" spans="1:9" x14ac:dyDescent="0.25">
      <c r="A39" s="6"/>
      <c r="C39" s="114"/>
      <c r="D39" s="114"/>
      <c r="E39" s="114"/>
      <c r="F39" s="114"/>
      <c r="G39" s="114"/>
      <c r="H39" s="114"/>
    </row>
    <row r="40" spans="1:9" x14ac:dyDescent="0.25">
      <c r="A40" s="6"/>
      <c r="C40" s="114"/>
      <c r="D40" s="114"/>
      <c r="E40" s="114"/>
      <c r="F40" s="114"/>
      <c r="G40" s="114"/>
      <c r="H40" s="114"/>
    </row>
    <row r="41" spans="1:9" x14ac:dyDescent="0.25">
      <c r="A41" s="6"/>
      <c r="C41" s="114"/>
      <c r="D41" s="114"/>
      <c r="E41" s="114"/>
      <c r="F41" s="114"/>
      <c r="G41" s="114"/>
      <c r="H41" s="114"/>
    </row>
    <row r="42" spans="1:9" x14ac:dyDescent="0.25">
      <c r="A42" s="6"/>
      <c r="C42" s="156"/>
      <c r="D42" s="114"/>
      <c r="E42" s="114"/>
      <c r="F42" s="114"/>
      <c r="G42" s="114"/>
      <c r="H42" s="114"/>
    </row>
    <row r="43" spans="1:9" x14ac:dyDescent="0.25">
      <c r="A43" s="6"/>
      <c r="C43" s="156"/>
      <c r="D43" s="114"/>
      <c r="E43" s="114"/>
      <c r="F43" s="114"/>
      <c r="G43" s="114"/>
      <c r="H43" s="114"/>
    </row>
    <row r="44" spans="1:9" x14ac:dyDescent="0.25">
      <c r="A44" s="6"/>
      <c r="C44" s="156"/>
      <c r="D44" s="114"/>
      <c r="E44" s="114"/>
      <c r="F44" s="114"/>
      <c r="G44" s="114"/>
      <c r="H44" s="114"/>
    </row>
    <row r="45" spans="1:9" x14ac:dyDescent="0.25">
      <c r="A45" s="6"/>
      <c r="C45" s="156"/>
      <c r="D45" s="114"/>
      <c r="E45" s="114"/>
      <c r="F45" s="114"/>
      <c r="G45" s="114"/>
      <c r="H45" s="114"/>
    </row>
    <row r="46" spans="1:9" x14ac:dyDescent="0.25">
      <c r="A46" s="6"/>
      <c r="C46" s="156"/>
      <c r="D46" s="114"/>
      <c r="E46" s="114"/>
      <c r="F46" s="114"/>
      <c r="G46" s="114"/>
      <c r="H46" s="114"/>
    </row>
    <row r="47" spans="1:9" x14ac:dyDescent="0.25">
      <c r="A47" s="6"/>
      <c r="C47" s="156"/>
      <c r="D47" s="114"/>
      <c r="E47" s="114"/>
      <c r="F47" s="114"/>
      <c r="G47" s="114"/>
      <c r="H47" s="114"/>
    </row>
    <row r="48" spans="1:9" ht="12.75" customHeight="1" x14ac:dyDescent="0.25"/>
    <row r="49" spans="1:9" x14ac:dyDescent="0.25">
      <c r="A49" s="46" t="s">
        <v>85</v>
      </c>
      <c r="B49" s="46"/>
      <c r="C49" s="46"/>
      <c r="D49" s="46"/>
      <c r="E49" s="46"/>
      <c r="F49" s="46"/>
      <c r="G49" s="46"/>
      <c r="H49" s="46"/>
      <c r="I49" s="46"/>
    </row>
    <row r="50" spans="1:9" x14ac:dyDescent="0.25">
      <c r="A50" s="6"/>
      <c r="C50" s="114"/>
      <c r="D50" s="114"/>
      <c r="E50" s="114"/>
      <c r="F50" s="114"/>
      <c r="G50" s="114"/>
      <c r="H50" s="114"/>
    </row>
    <row r="51" spans="1:9" x14ac:dyDescent="0.25">
      <c r="A51" s="6"/>
      <c r="C51" s="114"/>
      <c r="D51" s="114"/>
      <c r="E51" s="114"/>
      <c r="F51" s="114"/>
      <c r="G51" s="114"/>
      <c r="H51" s="114"/>
    </row>
    <row r="52" spans="1:9" x14ac:dyDescent="0.25">
      <c r="A52" s="6"/>
      <c r="C52" s="114"/>
      <c r="D52" s="114"/>
      <c r="E52" s="114"/>
      <c r="F52" s="114"/>
      <c r="G52" s="114"/>
      <c r="H52" s="114"/>
    </row>
  </sheetData>
  <sheetProtection formatCells="0" selectLockedCells="1"/>
  <dataConsolidate/>
  <mergeCells count="26">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 ref="A38:I38"/>
    <mergeCell ref="C26:H26"/>
    <mergeCell ref="C27:H27"/>
    <mergeCell ref="C47:H47"/>
    <mergeCell ref="C39:H39"/>
    <mergeCell ref="C40:H40"/>
    <mergeCell ref="C41:H41"/>
    <mergeCell ref="C42:H42"/>
    <mergeCell ref="C43:H43"/>
    <mergeCell ref="C44:H44"/>
  </mergeCells>
  <pageMargins left="0.75" right="0.75" top="1" bottom="1" header="0.5" footer="0.5"/>
  <pageSetup paperSize="5"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FRONT</vt:lpstr>
      <vt:lpstr>BACK</vt:lpstr>
      <vt:lpstr>ANNEX</vt:lpstr>
      <vt:lpstr>ngoyab</vt:lpstr>
      <vt:lpstr>FRONT!Print_Area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Sabrina Ongkiko;Yong Barba</dc:creator>
  <cp:lastModifiedBy>HANS</cp:lastModifiedBy>
  <cp:lastPrinted>2025-09-26T04:34:24Z</cp:lastPrinted>
  <dcterms:created xsi:type="dcterms:W3CDTF">2016-08-03T07:51:07Z</dcterms:created>
  <dcterms:modified xsi:type="dcterms:W3CDTF">2025-09-27T16:12:26Z</dcterms:modified>
</cp:coreProperties>
</file>