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ystemdihs\templates\"/>
    </mc:Choice>
  </mc:AlternateContent>
  <xr:revisionPtr revIDLastSave="0" documentId="8_{634F7E8D-BF78-4136-9115-75640081159F}" xr6:coauthVersionLast="47" xr6:coauthVersionMax="47" xr10:uidLastSave="{00000000-0000-0000-0000-000000000000}"/>
  <bookViews>
    <workbookView xWindow="-108" yWindow="-108" windowWidth="23256" windowHeight="12456" tabRatio="716" activeTab="1" xr2:uid="{00000000-000D-0000-FFFF-FFFF00000000}"/>
  </bookViews>
  <sheets>
    <sheet name="SF9 FRONT (G11)" sheetId="1" r:id="rId1"/>
    <sheet name="SF9 BACK (G11)" sheetId="2" r:id="rId2"/>
    <sheet name="Helper(IMPORTANT!)" sheetId="3" state="veryHidden" r:id="rId3"/>
  </sheets>
  <definedNames>
    <definedName name="Applied">'Helper(IMPORTANT!)'!$D$4:$D$11</definedName>
    <definedName name="Core">'Helper(IMPORTANT!)'!$C$4:$C$22</definedName>
    <definedName name="ngoyab">#REF!</definedName>
    <definedName name="Other_Subjects">'Helper(IMPORTANT!)'!$F$4:$F$6</definedName>
    <definedName name="_xlnm.Print_Area" localSheetId="1">'SF9 BACK (G11)'!$A$1:$O$43</definedName>
    <definedName name="_xlnm.Print_Area" localSheetId="0">'SF9 FRONT (G11)'!$A$1:$AX$37</definedName>
    <definedName name="Specialized">'Helper(IMPORTANT!)'!$E$4:$E$12</definedName>
    <definedName name="STRAND">#REF!</definedName>
    <definedName name="Z_10225561_8BCB_4AAB_A96B_034D76D8C0EB_.wvu.Rows" localSheetId="2">'Helper(IMPORTANT!)'!$3:$99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2" l="1"/>
  <c r="G35" i="2"/>
  <c r="G43" i="2"/>
  <c r="G38" i="2"/>
  <c r="G39" i="2"/>
  <c r="G40" i="2"/>
  <c r="G41" i="2"/>
  <c r="G42" i="2"/>
  <c r="G37" i="2"/>
  <c r="G30" i="2"/>
  <c r="G31" i="2"/>
  <c r="G32" i="2"/>
  <c r="G33" i="2"/>
  <c r="G34" i="2"/>
  <c r="G29" i="2"/>
  <c r="G8" i="2"/>
  <c r="G9" i="2"/>
  <c r="G18" i="2"/>
  <c r="G19" i="2"/>
  <c r="G20" i="2"/>
  <c r="G21" i="2"/>
  <c r="G17" i="2"/>
  <c r="G10" i="2"/>
  <c r="G11" i="2"/>
  <c r="G12" i="2"/>
  <c r="G13" i="2"/>
  <c r="G14" i="2"/>
  <c r="G15" i="2"/>
  <c r="B99" i="3"/>
  <c r="B98" i="3"/>
  <c r="B97" i="3"/>
  <c r="B96" i="3"/>
  <c r="B95" i="3"/>
  <c r="B94" i="3"/>
  <c r="B93" i="3"/>
  <c r="B92" i="3"/>
  <c r="B91" i="3"/>
  <c r="B90" i="3"/>
  <c r="B89" i="3"/>
  <c r="B88" i="3"/>
  <c r="L87" i="3"/>
  <c r="B87" i="3"/>
  <c r="L86" i="3"/>
  <c r="K86" i="3"/>
  <c r="J86" i="3"/>
  <c r="B86" i="3"/>
  <c r="L85" i="3"/>
  <c r="K85" i="3"/>
  <c r="J85" i="3"/>
  <c r="B85" i="3"/>
  <c r="L84" i="3"/>
  <c r="K84" i="3"/>
  <c r="J84" i="3"/>
  <c r="B84" i="3"/>
  <c r="L83" i="3"/>
  <c r="K83" i="3"/>
  <c r="J83" i="3"/>
  <c r="B83" i="3"/>
  <c r="L82" i="3"/>
  <c r="K82" i="3"/>
  <c r="J82" i="3"/>
  <c r="B82" i="3"/>
  <c r="L81" i="3"/>
  <c r="K81" i="3"/>
  <c r="J81" i="3"/>
  <c r="B81" i="3"/>
  <c r="L80" i="3"/>
  <c r="K80" i="3"/>
  <c r="J80" i="3"/>
  <c r="B80" i="3"/>
  <c r="L79" i="3"/>
  <c r="K79" i="3"/>
  <c r="J79" i="3"/>
  <c r="B79" i="3"/>
  <c r="L78" i="3"/>
  <c r="K78" i="3"/>
  <c r="J78" i="3"/>
  <c r="B78" i="3"/>
  <c r="L77" i="3"/>
  <c r="K77" i="3"/>
  <c r="J77" i="3"/>
  <c r="B77" i="3"/>
  <c r="L76" i="3"/>
  <c r="K76" i="3"/>
  <c r="J76" i="3"/>
  <c r="B76" i="3"/>
  <c r="L75" i="3"/>
  <c r="K75" i="3"/>
  <c r="J75" i="3"/>
  <c r="B75" i="3"/>
  <c r="L74" i="3"/>
  <c r="K74" i="3"/>
  <c r="J74" i="3"/>
  <c r="B74" i="3"/>
  <c r="L73" i="3"/>
  <c r="K73" i="3"/>
  <c r="J73" i="3"/>
  <c r="B73" i="3"/>
  <c r="L72" i="3"/>
  <c r="K72" i="3"/>
  <c r="J72" i="3"/>
  <c r="B72" i="3"/>
  <c r="L71" i="3"/>
  <c r="K71" i="3"/>
  <c r="J71" i="3"/>
  <c r="B71" i="3"/>
  <c r="L70" i="3"/>
  <c r="K70" i="3"/>
  <c r="J70" i="3"/>
  <c r="B70" i="3"/>
  <c r="L69" i="3"/>
  <c r="K69" i="3"/>
  <c r="J69" i="3"/>
  <c r="B69" i="3"/>
  <c r="L68" i="3"/>
  <c r="K68" i="3"/>
  <c r="J68" i="3"/>
  <c r="B68" i="3"/>
  <c r="L67" i="3"/>
  <c r="K67" i="3"/>
  <c r="J67" i="3"/>
  <c r="B67" i="3"/>
  <c r="L66" i="3"/>
  <c r="K66" i="3"/>
  <c r="J66" i="3"/>
  <c r="B66" i="3"/>
  <c r="L65" i="3"/>
  <c r="K65" i="3"/>
  <c r="J65" i="3"/>
  <c r="B65" i="3"/>
  <c r="L64" i="3"/>
  <c r="K64" i="3"/>
  <c r="J64" i="3"/>
  <c r="B64" i="3"/>
  <c r="L63" i="3"/>
  <c r="K63" i="3"/>
  <c r="J63" i="3"/>
  <c r="B63" i="3"/>
  <c r="L62" i="3"/>
  <c r="K62" i="3"/>
  <c r="J62" i="3"/>
  <c r="B62" i="3"/>
  <c r="L61" i="3"/>
  <c r="K61" i="3"/>
  <c r="J61" i="3"/>
  <c r="B61" i="3"/>
  <c r="L60" i="3"/>
  <c r="K60" i="3"/>
  <c r="J60" i="3"/>
  <c r="B60" i="3"/>
  <c r="L59" i="3"/>
  <c r="K59" i="3"/>
  <c r="J59" i="3"/>
  <c r="B59" i="3"/>
  <c r="L58" i="3"/>
  <c r="K58" i="3"/>
  <c r="J58" i="3"/>
  <c r="B58" i="3"/>
  <c r="L57" i="3"/>
  <c r="K57" i="3"/>
  <c r="J57" i="3"/>
  <c r="B57" i="3"/>
  <c r="L56" i="3"/>
  <c r="K56" i="3"/>
  <c r="J56" i="3"/>
  <c r="B56" i="3"/>
  <c r="L55" i="3"/>
  <c r="K55" i="3"/>
  <c r="J55" i="3"/>
  <c r="B55" i="3"/>
  <c r="L54" i="3"/>
  <c r="K54" i="3"/>
  <c r="J54" i="3"/>
  <c r="B54" i="3"/>
  <c r="L53" i="3"/>
  <c r="K53" i="3"/>
  <c r="J53" i="3"/>
  <c r="B53" i="3"/>
  <c r="L52" i="3"/>
  <c r="K52" i="3"/>
  <c r="J52" i="3"/>
  <c r="B52" i="3"/>
  <c r="L51" i="3"/>
  <c r="K51" i="3"/>
  <c r="J51" i="3"/>
  <c r="B51" i="3"/>
  <c r="L50" i="3"/>
  <c r="K50" i="3"/>
  <c r="J50" i="3"/>
  <c r="B50" i="3"/>
  <c r="L49" i="3"/>
  <c r="K49" i="3"/>
  <c r="J49" i="3"/>
  <c r="B49" i="3"/>
  <c r="L48" i="3"/>
  <c r="K48" i="3"/>
  <c r="J48" i="3"/>
  <c r="B48" i="3"/>
  <c r="L47" i="3"/>
  <c r="K47" i="3"/>
  <c r="J47" i="3"/>
  <c r="B47" i="3"/>
  <c r="L46" i="3"/>
  <c r="K46" i="3"/>
  <c r="J46" i="3"/>
  <c r="B46" i="3"/>
  <c r="L45" i="3"/>
  <c r="K45" i="3"/>
  <c r="J45" i="3"/>
  <c r="B45" i="3"/>
  <c r="L44" i="3"/>
  <c r="K44" i="3"/>
  <c r="J44" i="3"/>
  <c r="B44" i="3"/>
  <c r="L43" i="3"/>
  <c r="K43" i="3"/>
  <c r="J43" i="3"/>
  <c r="B43" i="3"/>
  <c r="L42" i="3"/>
  <c r="K42" i="3"/>
  <c r="J42" i="3"/>
  <c r="B42" i="3"/>
  <c r="L41" i="3"/>
  <c r="K41" i="3"/>
  <c r="J41" i="3"/>
  <c r="B41" i="3"/>
  <c r="L40" i="3"/>
  <c r="K40" i="3"/>
  <c r="J40" i="3"/>
  <c r="B40" i="3"/>
  <c r="L39" i="3"/>
  <c r="K39" i="3"/>
  <c r="J39" i="3"/>
  <c r="B39" i="3"/>
  <c r="L38" i="3"/>
  <c r="K38" i="3"/>
  <c r="J38" i="3"/>
  <c r="B38" i="3"/>
  <c r="L37" i="3"/>
  <c r="K37" i="3"/>
  <c r="J37" i="3"/>
  <c r="B37" i="3"/>
  <c r="L36" i="3"/>
  <c r="K36" i="3"/>
  <c r="J36" i="3"/>
  <c r="B36" i="3"/>
  <c r="L35" i="3"/>
  <c r="K35" i="3"/>
  <c r="J35" i="3"/>
  <c r="B35" i="3"/>
  <c r="L34" i="3"/>
  <c r="K34" i="3"/>
  <c r="J34" i="3"/>
  <c r="B34" i="3"/>
  <c r="L33" i="3"/>
  <c r="K33" i="3"/>
  <c r="J33" i="3"/>
  <c r="B33" i="3"/>
  <c r="L32" i="3"/>
  <c r="K32" i="3"/>
  <c r="J32" i="3"/>
  <c r="B32" i="3"/>
  <c r="L31" i="3"/>
  <c r="K31" i="3"/>
  <c r="J31" i="3"/>
  <c r="B31" i="3"/>
  <c r="L30" i="3"/>
  <c r="K30" i="3"/>
  <c r="J30" i="3"/>
  <c r="B30" i="3"/>
  <c r="L29" i="3"/>
  <c r="K29" i="3"/>
  <c r="J29" i="3"/>
  <c r="B29" i="3"/>
  <c r="L28" i="3"/>
  <c r="K28" i="3"/>
  <c r="J28" i="3"/>
  <c r="B28" i="3"/>
  <c r="L27" i="3"/>
  <c r="K27" i="3"/>
  <c r="J27" i="3"/>
  <c r="B27" i="3"/>
  <c r="L26" i="3"/>
  <c r="K26" i="3"/>
  <c r="J26" i="3"/>
  <c r="B26" i="3"/>
  <c r="L25" i="3"/>
  <c r="K25" i="3"/>
  <c r="J25" i="3"/>
  <c r="B25" i="3"/>
  <c r="L24" i="3"/>
  <c r="K24" i="3"/>
  <c r="J24" i="3"/>
  <c r="B24" i="3"/>
  <c r="L23" i="3"/>
  <c r="K23" i="3"/>
  <c r="J23" i="3"/>
  <c r="B23" i="3"/>
  <c r="L22" i="3"/>
  <c r="K22" i="3"/>
  <c r="J22" i="3"/>
  <c r="C22" i="3"/>
  <c r="B22" i="3"/>
  <c r="L21" i="3"/>
  <c r="K21" i="3"/>
  <c r="J21" i="3"/>
  <c r="C21" i="3"/>
  <c r="B21" i="3"/>
  <c r="K20" i="3"/>
  <c r="L20" i="3" s="1"/>
  <c r="J20" i="3"/>
  <c r="B20" i="3"/>
  <c r="K19" i="3"/>
  <c r="L19" i="3" s="1"/>
  <c r="J19" i="3"/>
  <c r="B19" i="3"/>
  <c r="L18" i="3"/>
  <c r="K18" i="3"/>
  <c r="J18" i="3"/>
  <c r="B18" i="3"/>
  <c r="K17" i="3"/>
  <c r="L17" i="3" s="1"/>
  <c r="J17" i="3"/>
  <c r="B17" i="3"/>
  <c r="K16" i="3"/>
  <c r="L16" i="3" s="1"/>
  <c r="J16" i="3"/>
  <c r="B16" i="3"/>
  <c r="L15" i="3"/>
  <c r="K15" i="3"/>
  <c r="J15" i="3"/>
  <c r="B15" i="3"/>
  <c r="M14" i="3"/>
  <c r="L14" i="3"/>
  <c r="K14" i="3"/>
  <c r="J14" i="3"/>
  <c r="B14" i="3"/>
  <c r="M13" i="3"/>
  <c r="L13" i="3"/>
  <c r="K13" i="3"/>
  <c r="J13" i="3"/>
  <c r="B13" i="3"/>
  <c r="M12" i="3"/>
  <c r="K12" i="3"/>
  <c r="L12" i="3" s="1"/>
  <c r="J12" i="3"/>
  <c r="E12" i="3"/>
  <c r="B12" i="3"/>
  <c r="M11" i="3"/>
  <c r="K11" i="3"/>
  <c r="L11" i="3" s="1"/>
  <c r="J11" i="3"/>
  <c r="E11" i="3"/>
  <c r="B11" i="3"/>
  <c r="M10" i="3"/>
  <c r="K10" i="3"/>
  <c r="L10" i="3" s="1"/>
  <c r="J10" i="3"/>
  <c r="E10" i="3"/>
  <c r="B10" i="3"/>
  <c r="M9" i="3"/>
  <c r="K9" i="3"/>
  <c r="L9" i="3" s="1"/>
  <c r="J9" i="3"/>
  <c r="E9" i="3"/>
  <c r="B9" i="3"/>
  <c r="M8" i="3"/>
  <c r="K8" i="3"/>
  <c r="L8" i="3" s="1"/>
  <c r="J8" i="3"/>
  <c r="E8" i="3"/>
  <c r="B8" i="3"/>
  <c r="M7" i="3"/>
  <c r="K7" i="3"/>
  <c r="L7" i="3" s="1"/>
  <c r="J7" i="3"/>
  <c r="E7" i="3"/>
  <c r="B7" i="3"/>
  <c r="F6" i="3"/>
  <c r="E6" i="3"/>
  <c r="B6" i="3"/>
  <c r="F5" i="3"/>
  <c r="E5" i="3"/>
  <c r="B5" i="3"/>
  <c r="F4" i="3"/>
  <c r="E4" i="3"/>
  <c r="B4" i="3"/>
  <c r="U39" i="2"/>
  <c r="T39" i="2"/>
  <c r="S39" i="2"/>
  <c r="R39" i="2"/>
  <c r="U38" i="2"/>
  <c r="T38" i="2"/>
  <c r="S38" i="2"/>
  <c r="R38" i="2"/>
  <c r="U37" i="2"/>
  <c r="T37" i="2"/>
  <c r="S37" i="2"/>
  <c r="R37" i="2"/>
  <c r="U36" i="2"/>
  <c r="T36" i="2"/>
  <c r="S36" i="2"/>
  <c r="R36" i="2"/>
  <c r="U35" i="2"/>
  <c r="T35" i="2"/>
  <c r="S35" i="2"/>
  <c r="R35" i="2"/>
  <c r="U34" i="2"/>
  <c r="T34" i="2"/>
  <c r="S34" i="2"/>
  <c r="R34" i="2"/>
  <c r="U33" i="2"/>
  <c r="T33" i="2"/>
  <c r="S33" i="2"/>
  <c r="R33" i="2"/>
  <c r="U32" i="2"/>
  <c r="T32" i="2"/>
  <c r="S32" i="2"/>
  <c r="R32" i="2"/>
  <c r="U31" i="2"/>
  <c r="T31" i="2"/>
  <c r="S31" i="2"/>
  <c r="R31" i="2"/>
  <c r="U30" i="2"/>
  <c r="T30" i="2"/>
  <c r="S30" i="2"/>
  <c r="R30" i="2"/>
  <c r="U29" i="2"/>
  <c r="T29" i="2"/>
  <c r="S29" i="2"/>
  <c r="R29" i="2"/>
  <c r="U28" i="2"/>
  <c r="T28" i="2"/>
  <c r="S28" i="2"/>
  <c r="R28" i="2"/>
  <c r="V21" i="2"/>
  <c r="V20" i="2"/>
  <c r="V19" i="2"/>
  <c r="X18" i="2"/>
  <c r="W18" i="2"/>
  <c r="R18" i="2"/>
  <c r="V18" i="2" s="1"/>
  <c r="X17" i="2"/>
  <c r="W17" i="2"/>
  <c r="V17" i="2"/>
  <c r="R17" i="2"/>
  <c r="X16" i="2"/>
  <c r="W16" i="2"/>
  <c r="R16" i="2"/>
  <c r="V16" i="2" s="1"/>
  <c r="X15" i="2"/>
  <c r="W15" i="2"/>
  <c r="V15" i="2"/>
  <c r="R15" i="2"/>
  <c r="X14" i="2"/>
  <c r="W14" i="2"/>
  <c r="V14" i="2"/>
  <c r="R14" i="2"/>
  <c r="X13" i="2"/>
  <c r="W13" i="2"/>
  <c r="V13" i="2"/>
  <c r="R13" i="2"/>
  <c r="X12" i="2"/>
  <c r="W12" i="2"/>
  <c r="V12" i="2"/>
  <c r="R12" i="2"/>
  <c r="X11" i="2"/>
  <c r="W11" i="2"/>
  <c r="V11" i="2"/>
  <c r="R11" i="2"/>
  <c r="X10" i="2"/>
  <c r="W10" i="2"/>
  <c r="V10" i="2"/>
  <c r="A11" i="2" s="1"/>
  <c r="R10" i="2"/>
  <c r="X9" i="2"/>
  <c r="W9" i="2"/>
  <c r="V9" i="2"/>
  <c r="R9" i="2"/>
  <c r="X8" i="2"/>
  <c r="W8" i="2"/>
  <c r="V8" i="2"/>
  <c r="A9" i="2" s="1"/>
  <c r="R8" i="2"/>
  <c r="X7" i="2"/>
  <c r="W7" i="2"/>
  <c r="V7" i="2"/>
  <c r="A8" i="2" s="1"/>
  <c r="R7" i="2"/>
  <c r="A14" i="2" l="1"/>
  <c r="A12" i="2"/>
  <c r="A15" i="2"/>
  <c r="A10" i="2"/>
  <c r="A13" i="2"/>
</calcChain>
</file>

<file path=xl/sharedStrings.xml><?xml version="1.0" encoding="utf-8"?>
<sst xmlns="http://schemas.openxmlformats.org/spreadsheetml/2006/main" count="155" uniqueCount="144">
  <si>
    <t>REPORT ON ATTENDANCE</t>
  </si>
  <si>
    <t>LRN</t>
  </si>
  <si>
    <t>July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</si>
  <si>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</si>
  <si>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</si>
  <si>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</si>
  <si>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</si>
  <si>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</si>
  <si>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</si>
  <si>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</si>
  <si>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</si>
  <si>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</si>
  <si>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Jun</t>
  </si>
  <si>
    <t>Jul</t>
  </si>
  <si>
    <t>Total</t>
  </si>
  <si>
    <t>No. of School Days</t>
  </si>
  <si>
    <t>Republic of the Philippines</t>
  </si>
  <si>
    <t>DEPARTMENT OF EDUCATION</t>
  </si>
  <si>
    <t>IV-A (CALABARZON)</t>
  </si>
  <si>
    <t>No. of Days Present</t>
  </si>
  <si>
    <t>Region</t>
  </si>
  <si>
    <t>CITY SCHOOLS DIVISION OF DASMARIÑAS</t>
  </si>
  <si>
    <t>Division</t>
  </si>
  <si>
    <t>No. of Days Absent</t>
  </si>
  <si>
    <t>DASMARIÑAS INTEGRATED HIGH SCHOOL</t>
  </si>
  <si>
    <t>School</t>
  </si>
  <si>
    <t>PARENT / GUARDIAN’S SIGNATURE</t>
  </si>
  <si>
    <t>LEARNER'S PROGRESS REPORT CARD</t>
  </si>
  <si>
    <t>1st Quarter</t>
  </si>
  <si>
    <t xml:space="preserve">Name: </t>
  </si>
  <si>
    <t>2nd Quarter</t>
  </si>
  <si>
    <t>Last Name</t>
  </si>
  <si>
    <t>First Name</t>
  </si>
  <si>
    <t>Middle Name</t>
  </si>
  <si>
    <t>Age:</t>
  </si>
  <si>
    <t>3rd Quarter</t>
  </si>
  <si>
    <t>Grade:</t>
  </si>
  <si>
    <t>Section:</t>
  </si>
  <si>
    <t>D</t>
  </si>
  <si>
    <t xml:space="preserve">Curriculum:  </t>
  </si>
  <si>
    <t>4th Quarter</t>
  </si>
  <si>
    <t>School Year:</t>
  </si>
  <si>
    <t>xadada, fssdfs</t>
  </si>
  <si>
    <t>STEM</t>
  </si>
  <si>
    <t>Certificate of Transfer</t>
  </si>
  <si>
    <t>Admitted to Grade 11: ___________________</t>
  </si>
  <si>
    <t>Eligibility for Admission to Grade:____________________________________</t>
  </si>
  <si>
    <t>Grade 11</t>
  </si>
  <si>
    <t xml:space="preserve">            This  report   card  shows   the   ability   and   progress   your   child   has </t>
  </si>
  <si>
    <t>School Head</t>
  </si>
  <si>
    <t xml:space="preserve">    Adviser</t>
  </si>
  <si>
    <t>made   in   different   learning   areas   as   well   as   his/her   core   values.</t>
  </si>
  <si>
    <t xml:space="preserve">           The  school  welcomes   you   should   you  desire   to  know   more   about </t>
  </si>
  <si>
    <t>your   child's   progress.</t>
  </si>
  <si>
    <t>Cancellation of Eligibility to Transfer</t>
  </si>
  <si>
    <t>Adviser</t>
  </si>
  <si>
    <t>Admitted in: ____________________________________________________</t>
  </si>
  <si>
    <t>Date: ________________                       ____________________________</t>
  </si>
  <si>
    <t>Principal IV</t>
  </si>
  <si>
    <t>REPORT ON LEARNING PROGRESS AND ACHIEVEMENT</t>
  </si>
  <si>
    <t>REPORT ON LEARNER'S OBSERVED VALUES</t>
  </si>
  <si>
    <t>First Semester</t>
  </si>
  <si>
    <t>SUBJECTS</t>
  </si>
  <si>
    <t>QUARTER</t>
  </si>
  <si>
    <t>SEMESTER FINAL GRADE</t>
  </si>
  <si>
    <t>Core Values</t>
  </si>
  <si>
    <t>Behavior Statements</t>
  </si>
  <si>
    <t>Quarter</t>
  </si>
  <si>
    <t>Core Subjects</t>
  </si>
  <si>
    <t>1. Maka - Diyos</t>
  </si>
  <si>
    <t>Expresses one's spiritual beliefs while respecting the spiritual beliefs of others.</t>
  </si>
  <si>
    <t>AO</t>
  </si>
  <si>
    <t>Shows adherence to ethical principles by upholding truth.</t>
  </si>
  <si>
    <t>SO</t>
  </si>
  <si>
    <t>2. Makatao</t>
  </si>
  <si>
    <t>Is sensitive to individual, social, and cultural differences.</t>
  </si>
  <si>
    <t>RO</t>
  </si>
  <si>
    <t>Applied and Specialized Subjects</t>
  </si>
  <si>
    <t>Demonstrates contributions toward solidarity.</t>
  </si>
  <si>
    <t>NO</t>
  </si>
  <si>
    <t>3. Makakalikasan</t>
  </si>
  <si>
    <t>Cares for the environment and utilizes resources wisely, judiciously, and economically.</t>
  </si>
  <si>
    <t>General Average for the Semester</t>
  </si>
  <si>
    <t>4. Makabansa</t>
  </si>
  <si>
    <t>Demonstrates pride in being a Filipino; exercises the rights and responsibilities of a Filipino citizen.</t>
  </si>
  <si>
    <t>Second Semester</t>
  </si>
  <si>
    <t>Demonstrates appropriate behavior in carrying out activities in the school, community, and country.</t>
  </si>
  <si>
    <t>Observed Values</t>
  </si>
  <si>
    <t>Marking</t>
  </si>
  <si>
    <t>Non-numerical Rating</t>
  </si>
  <si>
    <t>Always Observed</t>
  </si>
  <si>
    <t>Sometimes Observed</t>
  </si>
  <si>
    <t>Rarely Observed</t>
  </si>
  <si>
    <t>Not Observed</t>
  </si>
  <si>
    <t>Learner Progress and Achievement</t>
  </si>
  <si>
    <t>Descriptors</t>
  </si>
  <si>
    <t>Grading Scale</t>
  </si>
  <si>
    <t>Remarks</t>
  </si>
  <si>
    <t>Outstanding</t>
  </si>
  <si>
    <t>90-100</t>
  </si>
  <si>
    <t>Passed</t>
  </si>
  <si>
    <t>Very Satisfactory</t>
  </si>
  <si>
    <t>85-89</t>
  </si>
  <si>
    <t>Satisfactory</t>
  </si>
  <si>
    <t>80-84</t>
  </si>
  <si>
    <t>Fairly Satisfactory</t>
  </si>
  <si>
    <t>75-79</t>
  </si>
  <si>
    <t>Did Not Meet Expectations</t>
  </si>
  <si>
    <t>Below 75</t>
  </si>
  <si>
    <t>Failed</t>
  </si>
  <si>
    <t>Helper Columns</t>
  </si>
  <si>
    <t>yongbarba@gmail.com</t>
  </si>
  <si>
    <t>Subjects</t>
  </si>
  <si>
    <t>Core</t>
  </si>
  <si>
    <t>Applied</t>
  </si>
  <si>
    <t>Specialized</t>
  </si>
  <si>
    <t>Other Subjects</t>
  </si>
  <si>
    <t>21st Century Literature from the Philippines and the World</t>
  </si>
  <si>
    <t>Empowerment Technologies</t>
  </si>
  <si>
    <t>Contemporary Philippine Arts from the Regions</t>
  </si>
  <si>
    <t>English for Academic and Professional Purposes</t>
  </si>
  <si>
    <t>Disaster Readiness and Risk Reduction</t>
  </si>
  <si>
    <t>Entrepreneurship</t>
  </si>
  <si>
    <t>PASSED</t>
  </si>
  <si>
    <t>Physical Education and Health</t>
  </si>
  <si>
    <t>Earth and Life Science*</t>
  </si>
  <si>
    <t>Filipino sa Piling Larang</t>
  </si>
  <si>
    <t>Earth Science</t>
  </si>
  <si>
    <t>Inquiries, Investigations and Immersion</t>
  </si>
  <si>
    <t>General Mathematics</t>
  </si>
  <si>
    <t>Practical Research 1</t>
  </si>
  <si>
    <t>Introduction to the Philosophy of the Human Person/Pambungad sa Pilosopiya ng Tao</t>
  </si>
  <si>
    <t>Practical Research 2</t>
  </si>
  <si>
    <t>Komunikasyon at Pananaliksik sa Wika at Kulturang Pilipino</t>
  </si>
  <si>
    <t>Media and Information Literacy</t>
  </si>
  <si>
    <t>Oral Communication</t>
  </si>
  <si>
    <t>Pagbasa at Pagsusuri ng Iba't Ibang Teksto Tungo sa Pananaliksik</t>
  </si>
  <si>
    <t>Personal Development/Pansariling Kaunlaran</t>
  </si>
  <si>
    <t>Physical Science*</t>
  </si>
  <si>
    <t>Reading and Writing</t>
  </si>
  <si>
    <t>Statistics and Probability</t>
  </si>
  <si>
    <t>Understanding Culture, Society and Politics</t>
  </si>
  <si>
    <t>Approved by: 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</si>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</sst>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2"/>
      <color rgb="FF000000"/>
      <name val="Calibri"/>
      <scheme val="minor"/>
    </font>
    <font>
      <sz val="12"/>
      <color rgb="FF000000"/>
      <name val="Arial Narrow"/>
    </font>
    <font>
      <b/>
      <sz val="12"/>
      <color rgb="FF000000"/>
      <name val="Arial Narrow"/>
    </font>
    <font>
      <sz val="11"/>
      <color rgb="FF000000"/>
      <name val="Arial Narrow"/>
    </font>
    <font>
      <sz val="10"/>
      <color rgb="FF000000"/>
      <name val="Arial"/>
    </font>
    <font>
      <b/>
      <sz val="12"/>
      <color rgb="FF000000"/>
      <name val="Arial"/>
    </font>
    <font>
      <b/>
      <sz val="13"/>
      <color rgb="FF000000"/>
      <name val="Arial"/>
    </font>
    <font>
      <b/>
      <i/>
      <sz val="13"/>
      <color rgb="FF000000"/>
      <name val="Arial"/>
    </font>
    <font>
      <sz val="13"/>
      <color rgb="FF000000"/>
      <name val="Arial"/>
    </font>
    <font>
      <sz val="15"/>
      <color rgb="FF000000"/>
      <name val="Arial"/>
    </font>
    <font>
      <b/>
      <sz val="10"/>
      <color rgb="FF000000"/>
      <name val="Arial"/>
    </font>
    <font>
      <sz val="11"/>
      <color rgb="FF000000"/>
      <name val="Calibri"/>
    </font>
    <font>
      <sz val="11"/>
      <color rgb="FF000000"/>
      <name val="Aparajita"/>
    </font>
    <font>
      <sz val="12"/>
      <color rgb="FF000000"/>
      <name val="Times New Roman"/>
    </font>
    <font>
      <b/>
      <sz val="10"/>
      <color rgb="FF000000"/>
      <name val="Times New Roman"/>
    </font>
    <font>
      <sz val="12"/>
      <color rgb="FF000000"/>
      <name val="Aparajita"/>
    </font>
    <font>
      <sz val="10"/>
      <color rgb="FF000000"/>
      <name val="Times New Roman"/>
    </font>
    <font>
      <i/>
      <sz val="11"/>
      <color rgb="FF000000"/>
      <name val="Times New Roman"/>
    </font>
    <font>
      <sz val="11"/>
      <color rgb="FF000000"/>
      <name val="Book Antiqua"/>
    </font>
    <font>
      <b/>
      <sz val="11"/>
      <color rgb="FF000000"/>
      <name val="Aparajita"/>
    </font>
    <font>
      <b/>
      <sz val="12"/>
      <color rgb="FF000000"/>
      <name val="Times New Roman"/>
    </font>
    <font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i/>
      <sz val="9"/>
      <color rgb="FF000000"/>
      <name val="Book Antiqua"/>
    </font>
    <font>
      <sz val="9"/>
      <color rgb="FF000000"/>
      <name val="Book Antiqua"/>
    </font>
    <font>
      <i/>
      <sz val="10"/>
      <color rgb="FF000000"/>
      <name val="Aparajita"/>
    </font>
    <font>
      <i/>
      <sz val="12"/>
      <color rgb="FF000000"/>
      <name val="Times New Roman"/>
    </font>
    <font>
      <b/>
      <sz val="10.5"/>
      <color rgb="FF000000"/>
      <name val="Times New Roman"/>
    </font>
    <font>
      <b/>
      <sz val="11"/>
      <color rgb="FF000000"/>
      <name val="Times New Roman"/>
    </font>
    <font>
      <b/>
      <sz val="16"/>
      <color rgb="FF000000"/>
      <name val="Times New Roman"/>
    </font>
    <font>
      <b/>
      <u/>
      <sz val="11"/>
      <color rgb="FF000000"/>
      <name val="Times New Roman"/>
    </font>
    <font>
      <sz val="12"/>
      <color rgb="FF000000"/>
      <name val="Arial"/>
    </font>
    <font>
      <sz val="10.5"/>
      <color rgb="FF000000"/>
      <name val="Arial"/>
    </font>
    <font>
      <sz val="9"/>
      <color rgb="FF000000"/>
      <name val="Arial"/>
    </font>
    <font>
      <sz val="11"/>
      <color rgb="FF000000"/>
      <name val="Arial"/>
    </font>
    <font>
      <b/>
      <i/>
      <sz val="9"/>
      <color rgb="FF000000"/>
      <name val="Arial Narrow"/>
    </font>
    <font>
      <b/>
      <sz val="15"/>
      <color rgb="FF000000"/>
      <name val="Arial"/>
    </font>
    <font>
      <u/>
      <sz val="12"/>
      <color rgb="FF0000FF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FFFFFF"/>
      </patternFill>
    </fill>
    <fill>
      <patternFill patternType="solid">
        <fgColor rgb="FFDDD9C3"/>
        <bgColor rgb="FFFFFFF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 applyProtection="1">
      <protection hidden="1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8" xfId="0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7" xfId="0" applyFont="1" applyBorder="1" applyProtection="1"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0" applyFont="1"/>
    <xf numFmtId="0" fontId="6" fillId="0" borderId="0" xfId="0" applyFont="1"/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7" fillId="0" borderId="12" xfId="0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0" borderId="9" xfId="0" applyBorder="1"/>
    <xf numFmtId="0" fontId="14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3" xfId="0" applyFont="1" applyBorder="1"/>
    <xf numFmtId="0" fontId="19" fillId="0" borderId="0" xfId="0" applyFont="1"/>
    <xf numFmtId="0" fontId="20" fillId="0" borderId="13" xfId="0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13" fillId="0" borderId="13" xfId="0" applyFont="1" applyBorder="1" applyAlignment="1">
      <alignment vertical="center"/>
    </xf>
    <xf numFmtId="0" fontId="21" fillId="0" borderId="13" xfId="0" applyFont="1" applyBorder="1"/>
    <xf numFmtId="0" fontId="13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13" fillId="0" borderId="13" xfId="0" applyFont="1" applyBorder="1" applyAlignment="1">
      <alignment horizontal="left"/>
    </xf>
    <xf numFmtId="0" fontId="13" fillId="0" borderId="11" xfId="0" applyFont="1" applyBorder="1"/>
    <xf numFmtId="0" fontId="20" fillId="0" borderId="13" xfId="0" applyFont="1" applyBorder="1" applyAlignment="1">
      <alignment vertical="top"/>
    </xf>
    <xf numFmtId="0" fontId="22" fillId="0" borderId="11" xfId="0" applyFont="1" applyBorder="1"/>
    <xf numFmtId="0" fontId="20" fillId="0" borderId="13" xfId="0" applyFont="1" applyBorder="1" applyAlignment="1">
      <alignment vertical="center"/>
    </xf>
    <xf numFmtId="0" fontId="23" fillId="0" borderId="13" xfId="0" applyFont="1" applyBorder="1"/>
    <xf numFmtId="0" fontId="13" fillId="0" borderId="13" xfId="0" applyFont="1" applyBorder="1" applyAlignment="1">
      <alignment vertical="top"/>
    </xf>
    <xf numFmtId="0" fontId="13" fillId="0" borderId="11" xfId="0" applyFont="1" applyBorder="1" applyAlignment="1">
      <alignment vertical="top"/>
    </xf>
    <xf numFmtId="0" fontId="20" fillId="0" borderId="1" xfId="0" applyFont="1" applyBorder="1"/>
    <xf numFmtId="0" fontId="13" fillId="0" borderId="0" xfId="0" applyFont="1" applyAlignment="1">
      <alignment vertical="top"/>
    </xf>
    <xf numFmtId="0" fontId="12" fillId="0" borderId="0" xfId="0" applyFont="1" applyAlignment="1">
      <alignment vertical="center"/>
    </xf>
    <xf numFmtId="0" fontId="13" fillId="0" borderId="0" xfId="0" applyFont="1" applyProtection="1">
      <protection locked="0"/>
    </xf>
    <xf numFmtId="0" fontId="24" fillId="0" borderId="0" xfId="0" applyFont="1"/>
    <xf numFmtId="0" fontId="25" fillId="0" borderId="0" xfId="0" applyFont="1"/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/>
      <protection locked="0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/>
    <xf numFmtId="0" fontId="17" fillId="0" borderId="0" xfId="0" applyFont="1"/>
    <xf numFmtId="0" fontId="20" fillId="0" borderId="11" xfId="0" applyFont="1" applyBorder="1" applyAlignment="1">
      <alignment vertical="center"/>
    </xf>
    <xf numFmtId="2" fontId="10" fillId="0" borderId="10" xfId="0" applyNumberFormat="1" applyFont="1" applyBorder="1" applyAlignment="1">
      <alignment horizontal="center" vertical="center"/>
    </xf>
    <xf numFmtId="1" fontId="10" fillId="0" borderId="11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4" fillId="0" borderId="0" xfId="0" applyFont="1"/>
    <xf numFmtId="0" fontId="16" fillId="0" borderId="9" xfId="0" applyFont="1" applyBorder="1" applyAlignment="1">
      <alignment vertical="center" wrapText="1"/>
    </xf>
    <xf numFmtId="0" fontId="16" fillId="0" borderId="9" xfId="0" applyFont="1" applyBorder="1" applyAlignment="1">
      <alignment horizontal="center" vertical="center" textRotation="91" wrapText="1"/>
    </xf>
    <xf numFmtId="0" fontId="16" fillId="0" borderId="9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top"/>
    </xf>
    <xf numFmtId="0" fontId="3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20" fillId="0" borderId="13" xfId="0" applyFont="1" applyBorder="1" applyAlignment="1">
      <alignment horizontal="left"/>
    </xf>
    <xf numFmtId="2" fontId="20" fillId="0" borderId="13" xfId="0" applyNumberFormat="1" applyFont="1" applyBorder="1" applyAlignment="1">
      <alignment horizontal="left"/>
    </xf>
    <xf numFmtId="0" fontId="16" fillId="0" borderId="3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top"/>
    </xf>
    <xf numFmtId="0" fontId="20" fillId="0" borderId="13" xfId="0" applyFont="1" applyBorder="1" applyAlignment="1">
      <alignment horizontal="left" vertical="center"/>
    </xf>
    <xf numFmtId="0" fontId="27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 vertical="center"/>
    </xf>
    <xf numFmtId="0" fontId="29" fillId="0" borderId="13" xfId="0" applyFont="1" applyBorder="1" applyAlignment="1">
      <alignment horizontal="center"/>
    </xf>
    <xf numFmtId="0" fontId="0" fillId="0" borderId="0" xfId="0"/>
    <xf numFmtId="0" fontId="17" fillId="0" borderId="1" xfId="0" applyFont="1" applyBorder="1" applyAlignment="1">
      <alignment horizontal="center"/>
    </xf>
    <xf numFmtId="0" fontId="29" fillId="0" borderId="13" xfId="0" applyFont="1" applyBorder="1" applyAlignment="1">
      <alignment horizontal="center" vertical="center"/>
    </xf>
    <xf numFmtId="0" fontId="20" fillId="0" borderId="11" xfId="0" applyFont="1" applyBorder="1" applyAlignment="1">
      <alignment horizontal="left"/>
    </xf>
    <xf numFmtId="0" fontId="27" fillId="0" borderId="0" xfId="0" applyFont="1" applyAlignment="1">
      <alignment horizontal="left" vertical="center"/>
    </xf>
    <xf numFmtId="0" fontId="28" fillId="0" borderId="13" xfId="0" applyFont="1" applyBorder="1" applyAlignment="1">
      <alignment horizontal="left"/>
    </xf>
    <xf numFmtId="0" fontId="32" fillId="0" borderId="10" xfId="0" applyFont="1" applyBorder="1" applyAlignment="1">
      <alignment horizontal="left"/>
    </xf>
    <xf numFmtId="0" fontId="32" fillId="0" borderId="11" xfId="0" applyFont="1" applyBorder="1" applyAlignment="1">
      <alignment horizontal="left"/>
    </xf>
    <xf numFmtId="0" fontId="32" fillId="0" borderId="12" xfId="0" applyFont="1" applyBorder="1" applyAlignment="1">
      <alignment horizontal="left"/>
    </xf>
    <xf numFmtId="0" fontId="32" fillId="0" borderId="10" xfId="0" applyFont="1" applyBorder="1"/>
    <xf numFmtId="0" fontId="32" fillId="0" borderId="11" xfId="0" applyFont="1" applyBorder="1"/>
    <xf numFmtId="0" fontId="32" fillId="0" borderId="12" xfId="0" applyFont="1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36" fillId="4" borderId="0" xfId="0" applyFont="1" applyFill="1" applyAlignment="1" applyProtection="1">
      <alignment horizontal="left" vertical="top"/>
      <protection hidden="1"/>
    </xf>
    <xf numFmtId="0" fontId="4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35" fillId="0" borderId="10" xfId="0" applyFont="1" applyBorder="1" applyAlignment="1">
      <alignment horizontal="left"/>
    </xf>
    <xf numFmtId="0" fontId="35" fillId="0" borderId="11" xfId="0" applyFont="1" applyBorder="1" applyAlignment="1">
      <alignment horizontal="left"/>
    </xf>
    <xf numFmtId="0" fontId="35" fillId="0" borderId="12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6" fillId="0" borderId="4" xfId="0" applyFont="1" applyBorder="1" applyAlignment="1">
      <alignment vertical="center" wrapText="1"/>
    </xf>
    <xf numFmtId="0" fontId="4" fillId="0" borderId="14" xfId="0" applyFont="1" applyBorder="1"/>
    <xf numFmtId="0" fontId="4" fillId="0" borderId="6" xfId="0" applyFont="1" applyBorder="1"/>
    <xf numFmtId="0" fontId="4" fillId="0" borderId="2" xfId="0" applyFont="1" applyBorder="1"/>
    <xf numFmtId="0" fontId="4" fillId="0" borderId="15" xfId="0" applyFont="1" applyBorder="1"/>
    <xf numFmtId="0" fontId="4" fillId="0" borderId="8" xfId="0" applyFont="1" applyBorder="1"/>
    <xf numFmtId="0" fontId="6" fillId="0" borderId="3" xfId="0" applyFont="1" applyBorder="1" applyAlignment="1">
      <alignment horizontal="center" vertical="center"/>
    </xf>
    <xf numFmtId="0" fontId="4" fillId="0" borderId="5" xfId="0" applyFont="1" applyBorder="1"/>
    <xf numFmtId="0" fontId="4" fillId="0" borderId="7" xfId="0" applyFont="1" applyBorder="1"/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4" fillId="3" borderId="14" xfId="0" applyFont="1" applyFill="1" applyBorder="1"/>
    <xf numFmtId="0" fontId="4" fillId="3" borderId="15" xfId="0" applyFont="1" applyFill="1" applyBorder="1"/>
    <xf numFmtId="0" fontId="4" fillId="3" borderId="13" xfId="0" applyFont="1" applyFill="1" applyBorder="1"/>
    <xf numFmtId="0" fontId="4" fillId="3" borderId="8" xfId="0" applyFont="1" applyFill="1" applyBorder="1"/>
    <xf numFmtId="0" fontId="6" fillId="3" borderId="10" xfId="0" applyFont="1" applyFill="1" applyBorder="1" applyAlignment="1">
      <alignment horizontal="center"/>
    </xf>
    <xf numFmtId="0" fontId="4" fillId="3" borderId="12" xfId="0" applyFont="1" applyFill="1" applyBorder="1"/>
    <xf numFmtId="0" fontId="5" fillId="3" borderId="3" xfId="0" applyFont="1" applyFill="1" applyBorder="1" applyAlignment="1">
      <alignment horizontal="center" wrapText="1"/>
    </xf>
    <xf numFmtId="0" fontId="32" fillId="3" borderId="7" xfId="0" applyFont="1" applyFill="1" applyBorder="1"/>
    <xf numFmtId="0" fontId="6" fillId="3" borderId="3" xfId="0" applyFont="1" applyFill="1" applyBorder="1" applyAlignment="1">
      <alignment horizontal="center" vertical="center"/>
    </xf>
    <xf numFmtId="0" fontId="4" fillId="3" borderId="7" xfId="0" applyFont="1" applyFill="1" applyBorder="1"/>
    <xf numFmtId="0" fontId="6" fillId="3" borderId="10" xfId="0" applyFont="1" applyFill="1" applyBorder="1" applyAlignment="1">
      <alignment horizontal="center" vertical="center"/>
    </xf>
    <xf numFmtId="0" fontId="4" fillId="3" borderId="11" xfId="0" applyFont="1" applyFill="1" applyBorder="1"/>
    <xf numFmtId="0" fontId="7" fillId="3" borderId="10" xfId="0" applyFont="1" applyFill="1" applyBorder="1" applyAlignment="1">
      <alignment horizontal="left"/>
    </xf>
    <xf numFmtId="0" fontId="7" fillId="3" borderId="11" xfId="0" applyFont="1" applyFill="1" applyBorder="1" applyAlignment="1">
      <alignment horizontal="left"/>
    </xf>
    <xf numFmtId="0" fontId="7" fillId="3" borderId="12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32" fillId="0" borderId="14" xfId="0" applyFont="1" applyBorder="1"/>
    <xf numFmtId="0" fontId="32" fillId="0" borderId="6" xfId="0" applyFont="1" applyBorder="1"/>
    <xf numFmtId="0" fontId="32" fillId="0" borderId="2" xfId="0" applyFont="1" applyBorder="1"/>
    <xf numFmtId="0" fontId="32" fillId="0" borderId="15" xfId="0" applyFont="1" applyBorder="1"/>
    <xf numFmtId="0" fontId="32" fillId="0" borderId="8" xfId="0" applyFont="1" applyBorder="1"/>
    <xf numFmtId="0" fontId="6" fillId="0" borderId="9" xfId="0" applyFont="1" applyBorder="1" applyAlignment="1">
      <alignment horizontal="right"/>
    </xf>
    <xf numFmtId="0" fontId="4" fillId="0" borderId="9" xfId="0" applyFont="1" applyBorder="1"/>
    <xf numFmtId="0" fontId="6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34" fillId="0" borderId="10" xfId="0" applyFont="1" applyBorder="1" applyAlignment="1">
      <alignment horizontal="left"/>
    </xf>
    <xf numFmtId="0" fontId="34" fillId="0" borderId="11" xfId="0" applyFont="1" applyBorder="1" applyAlignment="1">
      <alignment horizontal="left"/>
    </xf>
    <xf numFmtId="0" fontId="34" fillId="0" borderId="12" xfId="0" applyFont="1" applyBorder="1" applyAlignment="1">
      <alignment horizontal="left"/>
    </xf>
    <xf numFmtId="0" fontId="6" fillId="0" borderId="10" xfId="0" applyFont="1" applyBorder="1" applyAlignment="1">
      <alignment horizontal="right"/>
    </xf>
    <xf numFmtId="0" fontId="4" fillId="0" borderId="11" xfId="0" applyFont="1" applyBorder="1"/>
    <xf numFmtId="0" fontId="4" fillId="0" borderId="12" xfId="0" applyFont="1" applyBorder="1"/>
    <xf numFmtId="0" fontId="33" fillId="0" borderId="10" xfId="0" applyFont="1" applyBorder="1" applyAlignment="1">
      <alignment horizontal="left"/>
    </xf>
    <xf numFmtId="0" fontId="33" fillId="0" borderId="11" xfId="0" applyFont="1" applyBorder="1" applyAlignment="1">
      <alignment horizontal="left"/>
    </xf>
    <xf numFmtId="0" fontId="33" fillId="0" borderId="12" xfId="0" applyFont="1" applyBorder="1" applyAlignment="1">
      <alignment horizontal="left"/>
    </xf>
    <xf numFmtId="0" fontId="1" fillId="0" borderId="2" xfId="0" applyFont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wrapText="1"/>
      <protection hidden="1"/>
    </xf>
    <xf numFmtId="0" fontId="38" fillId="0" borderId="0" xfId="0" applyFont="1" applyAlignment="1" applyProtection="1">
      <alignment horizontal="center" wrapText="1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yongbar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view="pageBreakPreview" topLeftCell="A14" zoomScale="80" workbookViewId="0">
      <selection activeCell="O26" sqref="O26"/>
    </sheetView>
  </sheetViews>
  <sheetFormatPr defaultColWidth="10.19921875" defaultRowHeight="15.6" outlineLevelCol="1" x14ac:dyDescent="0.3"/>
  <cols>
    <col min="1" max="1" width="5.5" style="32" customWidth="1"/>
    <col min="2" max="11" width="5.796875" style="32" customWidth="1"/>
    <col min="12" max="13" width="5.5" style="32" hidden="1" customWidth="1"/>
    <col min="14" max="14" width="5.5" style="32" customWidth="1"/>
    <col min="15" max="15" width="6.5" style="32" customWidth="1"/>
    <col min="16" max="16" width="3" style="32" customWidth="1"/>
    <col min="17" max="50" width="2" style="32" customWidth="1" outlineLevel="1"/>
    <col min="51" max="51" width="23.5" style="32" customWidth="1"/>
    <col min="52" max="52" width="10.19921875" style="32"/>
  </cols>
  <sheetData>
    <row r="1" spans="1:51" s="15" customFormat="1" ht="17.399999999999999" customHeight="1" x14ac:dyDescent="0.45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33"/>
      <c r="Z1" s="33"/>
      <c r="AA1" s="32"/>
      <c r="AB1" s="32"/>
      <c r="AC1" s="32"/>
      <c r="AD1" s="32"/>
      <c r="AE1" s="32"/>
      <c r="AF1" s="32"/>
      <c r="AG1" s="32"/>
      <c r="AH1" s="32"/>
      <c r="AI1" s="32"/>
      <c r="AJ1" s="34" t="s">
        <v>1</v>
      </c>
      <c r="AK1" s="32"/>
      <c r="AL1" s="32"/>
      <c r="AM1" s="76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8"/>
    </row>
    <row r="2" spans="1:51" s="15" customFormat="1" ht="15" customHeight="1" x14ac:dyDescent="0.45">
      <c r="A2" s="35"/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83"/>
      <c r="Q2" s="32"/>
      <c r="R2" s="32"/>
      <c r="S2" s="32"/>
      <c r="T2" s="32"/>
      <c r="U2" s="32"/>
      <c r="V2" s="32"/>
      <c r="W2" s="32"/>
      <c r="X2" s="32"/>
      <c r="Y2" s="32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2"/>
    </row>
    <row r="3" spans="1:51" s="15" customFormat="1" ht="15" customHeight="1" x14ac:dyDescent="0.25">
      <c r="A3" s="84" t="s">
        <v>15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3"/>
      <c r="Q3" s="79" t="s">
        <v>16</v>
      </c>
      <c r="R3" s="79"/>
      <c r="S3" s="79"/>
      <c r="T3" s="79">
        <v>123544655445</v>
      </c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79"/>
      <c r="AX3" s="79"/>
      <c r="AY3" s="14"/>
    </row>
    <row r="4" spans="1:51" s="15" customFormat="1" ht="15" customHeight="1" x14ac:dyDescent="0.25">
      <c r="A4" s="84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3"/>
      <c r="Q4" s="80" t="s">
        <v>17</v>
      </c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</row>
    <row r="5" spans="1:51" s="15" customFormat="1" ht="15" customHeight="1" x14ac:dyDescent="0.25">
      <c r="A5" s="84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3"/>
      <c r="Q5" s="81" t="s">
        <v>18</v>
      </c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</row>
    <row r="6" spans="1:51" s="15" customFormat="1" ht="15" customHeight="1" x14ac:dyDescent="0.25">
      <c r="A6" s="84" t="s">
        <v>19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3"/>
      <c r="Q6" s="87" t="s">
        <v>20</v>
      </c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</row>
    <row r="7" spans="1:51" s="15" customFormat="1" ht="15" customHeight="1" x14ac:dyDescent="0.3">
      <c r="A7" s="84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P7" s="32"/>
      <c r="Q7" s="88" t="s">
        <v>21</v>
      </c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</row>
    <row r="8" spans="1:51" s="15" customFormat="1" ht="15" customHeight="1" x14ac:dyDescent="0.3">
      <c r="A8" s="84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P8" s="32"/>
      <c r="Q8" s="89" t="s">
        <v>22</v>
      </c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</row>
    <row r="9" spans="1:51" s="15" customFormat="1" ht="15" customHeight="1" x14ac:dyDescent="0.3">
      <c r="A9" s="84" t="s">
        <v>23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94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</row>
    <row r="10" spans="1:51" s="15" customFormat="1" ht="15" customHeight="1" x14ac:dyDescent="0.3">
      <c r="A10" s="84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95"/>
      <c r="P10" s="32"/>
      <c r="Q10" s="97" t="s">
        <v>24</v>
      </c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</row>
    <row r="11" spans="1:51" s="15" customFormat="1" ht="15" customHeight="1" x14ac:dyDescent="0.3">
      <c r="A11" s="84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96"/>
      <c r="P11" s="32"/>
      <c r="Q11" s="87" t="s">
        <v>25</v>
      </c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</row>
    <row r="12" spans="1:51" s="15" customFormat="1" ht="6.75" customHeight="1" x14ac:dyDescent="0.3">
      <c r="A12" s="38"/>
      <c r="P12" s="32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</row>
    <row r="13" spans="1:51" s="15" customFormat="1" ht="13.5" customHeight="1" x14ac:dyDescent="0.25">
      <c r="A13" s="90" t="s">
        <v>26</v>
      </c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40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</row>
    <row r="14" spans="1:51" s="15" customFormat="1" ht="16.5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2"/>
      <c r="Q14" s="91" t="s">
        <v>27</v>
      </c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  <c r="AJ14" s="91"/>
      <c r="AK14" s="91"/>
      <c r="AL14" s="91"/>
      <c r="AM14" s="91"/>
      <c r="AN14" s="91"/>
      <c r="AO14" s="91"/>
      <c r="AP14" s="91"/>
      <c r="AQ14" s="91"/>
      <c r="AR14" s="91"/>
      <c r="AS14" s="91"/>
      <c r="AT14" s="91"/>
      <c r="AU14" s="91"/>
      <c r="AV14" s="91"/>
      <c r="AW14" s="91"/>
      <c r="AX14" s="91"/>
    </row>
    <row r="15" spans="1:51" s="15" customFormat="1" ht="18" customHeight="1" x14ac:dyDescent="0.45">
      <c r="A15" s="42" t="s">
        <v>28</v>
      </c>
      <c r="B15" s="34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34"/>
      <c r="O15" s="34"/>
      <c r="P15" s="32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32"/>
    </row>
    <row r="16" spans="1:51" s="15" customFormat="1" ht="18" customHeight="1" x14ac:dyDescent="0.3">
      <c r="A16" s="42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2"/>
      <c r="Q16" s="42" t="s">
        <v>29</v>
      </c>
      <c r="R16" s="42"/>
      <c r="S16" s="42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2"/>
      <c r="AQ16" s="92"/>
      <c r="AR16" s="92"/>
      <c r="AS16" s="92"/>
      <c r="AT16" s="92"/>
      <c r="AU16" s="92"/>
      <c r="AV16" s="92"/>
      <c r="AW16" s="92"/>
      <c r="AX16" s="92"/>
    </row>
    <row r="17" spans="1:50" s="15" customFormat="1" ht="18" customHeight="1" x14ac:dyDescent="0.3">
      <c r="A17" s="42" t="s">
        <v>30</v>
      </c>
      <c r="B17" s="34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34"/>
      <c r="O17" s="34"/>
      <c r="P17" s="32"/>
      <c r="Q17" s="46"/>
      <c r="R17" s="46"/>
      <c r="S17" s="46"/>
      <c r="T17" s="34" t="s">
        <v>31</v>
      </c>
      <c r="U17" s="34"/>
      <c r="V17" s="46"/>
      <c r="W17" s="46"/>
      <c r="X17" s="46"/>
      <c r="Y17" s="46"/>
      <c r="Z17" s="47"/>
      <c r="AA17" s="34"/>
      <c r="AB17" s="34"/>
      <c r="AC17" s="34" t="s">
        <v>32</v>
      </c>
      <c r="AD17" s="34"/>
      <c r="AG17" s="34"/>
      <c r="AH17" s="34"/>
      <c r="AI17" s="34"/>
      <c r="AJ17" s="32"/>
      <c r="AK17" s="47"/>
      <c r="AL17" s="34"/>
      <c r="AM17" s="34"/>
      <c r="AN17" s="34"/>
      <c r="AO17" s="34"/>
      <c r="AP17" s="34" t="s">
        <v>33</v>
      </c>
      <c r="AQ17" s="34"/>
      <c r="AR17" s="32"/>
      <c r="AS17" s="32"/>
      <c r="AT17" s="34"/>
      <c r="AU17" s="34"/>
      <c r="AV17" s="34"/>
      <c r="AW17" s="32"/>
      <c r="AX17" s="34"/>
    </row>
    <row r="18" spans="1:50" s="15" customFormat="1" ht="18" customHeight="1" x14ac:dyDescent="0.3">
      <c r="A18" s="42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2"/>
      <c r="Q18" s="42" t="s">
        <v>34</v>
      </c>
      <c r="R18" s="42"/>
      <c r="S18" s="42"/>
      <c r="T18" s="92"/>
      <c r="U18" s="92"/>
      <c r="V18" s="92"/>
      <c r="W18" s="48"/>
      <c r="X18" s="48"/>
      <c r="Y18" s="48"/>
      <c r="Z18" s="49"/>
      <c r="AA18" s="45"/>
      <c r="AB18" s="45"/>
      <c r="AC18" s="45"/>
      <c r="AD18" s="45"/>
      <c r="AE18" s="45"/>
      <c r="AF18" s="45"/>
      <c r="AG18" s="45"/>
      <c r="AH18" s="50"/>
      <c r="AI18" s="51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52"/>
      <c r="AW18" s="49"/>
      <c r="AX18" s="45"/>
    </row>
    <row r="19" spans="1:50" s="15" customFormat="1" ht="18" customHeight="1" x14ac:dyDescent="0.3">
      <c r="A19" s="42" t="s">
        <v>35</v>
      </c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34"/>
      <c r="O19" s="42"/>
      <c r="P19" s="40"/>
      <c r="Q19" s="34" t="s">
        <v>36</v>
      </c>
      <c r="R19" s="34"/>
      <c r="S19" s="34"/>
      <c r="T19" s="107"/>
      <c r="U19" s="107"/>
      <c r="V19" s="107"/>
      <c r="W19" s="107"/>
      <c r="X19" s="107"/>
      <c r="Y19" s="107"/>
      <c r="Z19" s="107"/>
      <c r="AA19" s="107"/>
      <c r="AB19" s="107"/>
      <c r="AC19" s="107"/>
      <c r="AD19" s="53"/>
      <c r="AE19" s="53"/>
      <c r="AF19" s="53"/>
      <c r="AG19" s="53"/>
      <c r="AH19" s="50" t="s">
        <v>37</v>
      </c>
      <c r="AI19" s="34"/>
      <c r="AJ19" s="34"/>
      <c r="AK19" s="32"/>
      <c r="AL19" s="107"/>
      <c r="AM19" s="107"/>
      <c r="AN19" s="107"/>
      <c r="AO19" s="107"/>
      <c r="AP19" s="107"/>
      <c r="AQ19" s="107"/>
      <c r="AR19" s="107"/>
      <c r="AS19" s="107"/>
      <c r="AT19" s="107"/>
      <c r="AU19" s="107"/>
      <c r="AV19" s="107"/>
      <c r="AW19" s="107"/>
      <c r="AX19" s="107"/>
    </row>
    <row r="20" spans="1:50" s="15" customFormat="1" ht="18" customHeight="1" x14ac:dyDescent="0.3">
      <c r="A20" s="42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2"/>
      <c r="Q20" s="42" t="s">
        <v>39</v>
      </c>
      <c r="R20" s="42"/>
      <c r="S20" s="42"/>
      <c r="T20" s="42"/>
      <c r="U20" s="42"/>
      <c r="V20" s="54"/>
      <c r="W20" s="75"/>
      <c r="X20" s="55"/>
      <c r="Y20" s="56"/>
      <c r="Z20" s="57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8"/>
      <c r="AM20" s="58"/>
      <c r="AN20" s="58"/>
      <c r="AO20" s="58"/>
      <c r="AP20" s="58"/>
      <c r="AQ20" s="58"/>
      <c r="AR20" s="58"/>
      <c r="AS20" s="58"/>
      <c r="AT20" s="59"/>
      <c r="AU20" s="59"/>
      <c r="AV20" s="59"/>
      <c r="AW20" s="59"/>
      <c r="AX20" s="59"/>
    </row>
    <row r="21" spans="1:50" s="15" customFormat="1" ht="18" customHeight="1" x14ac:dyDescent="0.3">
      <c r="A21" s="42" t="s">
        <v>40</v>
      </c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34"/>
      <c r="O21" s="42"/>
      <c r="P21" s="40"/>
      <c r="Q21" s="42" t="s">
        <v>41</v>
      </c>
      <c r="R21" s="42"/>
      <c r="S21" s="42"/>
      <c r="T21" s="42"/>
      <c r="U21" s="42"/>
      <c r="V21" s="42"/>
      <c r="W21" s="98"/>
      <c r="X21" s="98"/>
      <c r="Y21" s="98"/>
      <c r="Z21" s="98"/>
      <c r="AA21" s="98"/>
      <c r="AB21" s="98"/>
      <c r="AC21" s="60"/>
      <c r="AD21" s="60"/>
      <c r="AE21" s="46"/>
      <c r="AF21" s="46"/>
      <c r="AG21" s="46"/>
      <c r="AH21" s="46"/>
      <c r="AI21" s="46"/>
      <c r="AJ21" s="46"/>
      <c r="AK21" s="34"/>
      <c r="AL21" s="34"/>
      <c r="AM21" s="34"/>
      <c r="AN21" s="34"/>
      <c r="AO21" s="34"/>
      <c r="AP21" s="34"/>
      <c r="AQ21" s="34"/>
      <c r="AR21" s="34"/>
      <c r="AS21" s="34"/>
      <c r="AT21" s="32"/>
      <c r="AU21" s="61"/>
      <c r="AV21" s="61"/>
      <c r="AW21" s="61"/>
      <c r="AX21" s="61"/>
    </row>
    <row r="22" spans="1:50" s="15" customFormat="1" ht="18" customHeight="1" x14ac:dyDescent="0.3">
      <c r="A22" s="32"/>
      <c r="B22" s="6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42" t="s">
        <v>42</v>
      </c>
      <c r="R22" s="42"/>
      <c r="S22" s="42"/>
      <c r="T22" s="42"/>
      <c r="U22" s="42"/>
      <c r="V22" s="42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</row>
    <row r="23" spans="1:50" ht="18" customHeight="1" x14ac:dyDescent="0.3"/>
    <row r="24" spans="1:50" ht="18" customHeight="1" x14ac:dyDescent="0.3">
      <c r="B24" s="82" t="s">
        <v>44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</row>
    <row r="25" spans="1:50" ht="25.05" customHeight="1" x14ac:dyDescent="0.3">
      <c r="A25" s="34" t="s">
        <v>45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</row>
    <row r="26" spans="1:50" s="15" customFormat="1" ht="25.05" customHeight="1" x14ac:dyDescent="0.3">
      <c r="A26" s="63" t="s">
        <v>46</v>
      </c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62"/>
      <c r="Q26" s="101" t="s">
        <v>47</v>
      </c>
      <c r="R26" s="101"/>
      <c r="S26" s="101"/>
      <c r="T26" s="101" t="s">
        <v>38</v>
      </c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</row>
    <row r="27" spans="1:50" s="15" customFormat="1" ht="25.05" customHeight="1" x14ac:dyDescent="0.3">
      <c r="A27" s="42" t="s">
        <v>142</v>
      </c>
      <c r="B27" s="42"/>
      <c r="C27" s="42"/>
      <c r="D27" s="42"/>
      <c r="E27" s="42"/>
      <c r="F27" s="42"/>
      <c r="G27" s="42"/>
      <c r="H27" s="42"/>
      <c r="I27" s="42" t="s">
        <v>143</v>
      </c>
      <c r="J27" s="42"/>
      <c r="K27" s="42"/>
      <c r="L27" s="42"/>
      <c r="M27" s="42"/>
      <c r="N27" s="42"/>
      <c r="O27" s="42"/>
      <c r="P27" s="62"/>
      <c r="Q27" s="101" t="s">
        <v>48</v>
      </c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</row>
    <row r="28" spans="1:50" s="15" customFormat="1" ht="25.05" customHeight="1" x14ac:dyDescent="0.25">
      <c r="A28" s="102" t="s">
        <v>49</v>
      </c>
      <c r="B28" s="102"/>
      <c r="C28" s="102"/>
      <c r="D28" s="102"/>
      <c r="E28" s="102"/>
      <c r="F28" s="102"/>
      <c r="G28" s="102"/>
      <c r="H28" s="102" t="s">
        <v>50</v>
      </c>
      <c r="I28" s="102"/>
      <c r="J28" s="102"/>
      <c r="K28" s="102"/>
      <c r="L28" s="102"/>
      <c r="M28" s="102"/>
      <c r="N28" s="102"/>
      <c r="O28" s="42"/>
      <c r="P28" s="62"/>
      <c r="Q28" s="108" t="s">
        <v>51</v>
      </c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8"/>
      <c r="AX28" s="108"/>
    </row>
    <row r="29" spans="1:50" s="15" customFormat="1" ht="5.25" customHeight="1" x14ac:dyDescent="0.45">
      <c r="A29" s="34"/>
      <c r="B29" s="99"/>
      <c r="C29" s="99"/>
      <c r="D29" s="99"/>
      <c r="E29" s="34"/>
      <c r="F29" s="34"/>
      <c r="G29" s="34"/>
      <c r="H29" s="99"/>
      <c r="I29" s="99"/>
      <c r="J29" s="99"/>
      <c r="K29" s="99"/>
      <c r="L29" s="99"/>
      <c r="M29" s="32"/>
      <c r="N29" s="34"/>
      <c r="O29" s="34"/>
      <c r="P29" s="33"/>
      <c r="Q29" s="100" t="s">
        <v>43</v>
      </c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</row>
    <row r="30" spans="1:50" s="15" customFormat="1" ht="18" customHeight="1" x14ac:dyDescent="0.4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4"/>
      <c r="P30" s="33"/>
      <c r="Q30" s="101" t="s">
        <v>52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</row>
    <row r="31" spans="1:50" s="15" customFormat="1" ht="25.05" customHeight="1" x14ac:dyDescent="0.3">
      <c r="A31" s="83"/>
      <c r="B31" s="83"/>
      <c r="C31" s="83"/>
      <c r="D31" s="83"/>
      <c r="E31" s="83"/>
      <c r="F31" s="83"/>
      <c r="G31" s="42"/>
      <c r="H31" s="83"/>
      <c r="I31" s="83"/>
      <c r="J31" s="83"/>
      <c r="K31" s="83"/>
      <c r="L31" s="83"/>
      <c r="M31" s="83"/>
      <c r="N31" s="83"/>
      <c r="O31" s="83"/>
      <c r="P31" s="62"/>
      <c r="Q31" s="101" t="s">
        <v>53</v>
      </c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</row>
    <row r="32" spans="1:50" s="15" customFormat="1" ht="18" customHeight="1" x14ac:dyDescent="0.3">
      <c r="A32" s="82" t="s">
        <v>54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32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</row>
    <row r="33" spans="1:50" s="15" customFormat="1" ht="15.6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2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32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</row>
    <row r="34" spans="1:50" s="15" customFormat="1" ht="15.6" customHeight="1" x14ac:dyDescent="0.3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34"/>
      <c r="P34" s="32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32"/>
      <c r="AL34" s="105" t="s">
        <v>55</v>
      </c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</row>
    <row r="35" spans="1:50" s="15" customFormat="1" ht="15.6" customHeight="1" x14ac:dyDescent="0.3">
      <c r="A35" s="100" t="s">
        <v>56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34"/>
      <c r="P35" s="32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32"/>
      <c r="AL35" s="66"/>
      <c r="AM35" s="32"/>
      <c r="AN35" s="66"/>
      <c r="AO35" s="67"/>
      <c r="AP35" s="67"/>
      <c r="AQ35" s="67"/>
      <c r="AR35" s="67"/>
      <c r="AS35" s="67"/>
      <c r="AT35" s="67"/>
      <c r="AU35" s="67"/>
      <c r="AV35" s="67"/>
      <c r="AW35" s="67"/>
      <c r="AX35" s="67"/>
    </row>
    <row r="36" spans="1:50" s="15" customFormat="1" ht="15.6" customHeight="1" x14ac:dyDescent="0.3">
      <c r="A36" s="63" t="s">
        <v>57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H36" s="106"/>
      <c r="AI36" s="106"/>
      <c r="AJ36" s="106"/>
      <c r="AK36" s="40"/>
      <c r="AL36" s="68"/>
      <c r="AM36" s="40"/>
      <c r="AN36" s="68"/>
      <c r="AO36" s="69"/>
      <c r="AP36" s="69"/>
      <c r="AQ36" s="69"/>
      <c r="AR36" s="69"/>
      <c r="AS36" s="69"/>
      <c r="AT36" s="69"/>
      <c r="AU36" s="69"/>
      <c r="AV36" s="69"/>
      <c r="AW36" s="69"/>
      <c r="AX36" s="69"/>
    </row>
    <row r="37" spans="1:50" s="15" customFormat="1" ht="17.399999999999999" customHeight="1" x14ac:dyDescent="0.45">
      <c r="A37" s="70"/>
      <c r="B37" s="42"/>
      <c r="C37" s="42"/>
      <c r="D37" s="42"/>
      <c r="E37" s="42"/>
      <c r="F37" s="102" t="s">
        <v>49</v>
      </c>
      <c r="G37" s="102"/>
      <c r="H37" s="102"/>
      <c r="I37" s="102"/>
      <c r="J37" s="102"/>
      <c r="K37" s="102"/>
      <c r="L37" s="102"/>
      <c r="M37" s="102"/>
      <c r="N37" s="102"/>
      <c r="O37" s="42"/>
      <c r="P37" s="40"/>
      <c r="R37" s="73"/>
      <c r="S37" s="73"/>
      <c r="T37" s="73"/>
      <c r="U37" s="73"/>
      <c r="V37" s="73"/>
      <c r="W37" s="73"/>
      <c r="X37" s="74" t="s">
        <v>58</v>
      </c>
      <c r="Y37" s="73"/>
      <c r="Z37" s="73"/>
      <c r="AA37" s="73"/>
      <c r="AB37" s="73"/>
      <c r="AC37" s="73"/>
      <c r="AD37" s="73"/>
      <c r="AE37" s="73"/>
      <c r="AF37" s="73"/>
      <c r="AG37" s="73"/>
      <c r="AH37" s="71"/>
      <c r="AI37" s="71"/>
      <c r="AJ37" s="71"/>
    </row>
    <row r="38" spans="1:50" s="15" customFormat="1" ht="15.6" customHeight="1" x14ac:dyDescent="0.3">
      <c r="A38" s="34"/>
      <c r="B38" s="34"/>
      <c r="C38" s="34"/>
      <c r="D38" s="34"/>
      <c r="E38" s="34"/>
      <c r="F38" s="34"/>
      <c r="G38" s="34"/>
      <c r="H38" s="72"/>
      <c r="I38" s="72"/>
      <c r="J38" s="72"/>
      <c r="K38" s="72"/>
      <c r="L38" s="72"/>
      <c r="M38" s="72"/>
      <c r="N38" s="72"/>
      <c r="O38" s="7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</row>
  </sheetData>
  <mergeCells count="83">
    <mergeCell ref="T19:AC19"/>
    <mergeCell ref="B24:L24"/>
    <mergeCell ref="Q26:AX26"/>
    <mergeCell ref="Q27:AX27"/>
    <mergeCell ref="A28:G28"/>
    <mergeCell ref="H28:N28"/>
    <mergeCell ref="Q28:AX28"/>
    <mergeCell ref="AL19:AX19"/>
    <mergeCell ref="W21:AB21"/>
    <mergeCell ref="W22:AX22"/>
    <mergeCell ref="F37:N37"/>
    <mergeCell ref="A32:O32"/>
    <mergeCell ref="AL33:AX33"/>
    <mergeCell ref="A34:N34"/>
    <mergeCell ref="AL34:AX34"/>
    <mergeCell ref="A35:N35"/>
    <mergeCell ref="Q36:AJ36"/>
    <mergeCell ref="B29:D29"/>
    <mergeCell ref="H29:L29"/>
    <mergeCell ref="Q29:AX29"/>
    <mergeCell ref="Q30:AX30"/>
    <mergeCell ref="A31:F31"/>
    <mergeCell ref="H31:O31"/>
    <mergeCell ref="Q31:AX31"/>
    <mergeCell ref="A13:O13"/>
    <mergeCell ref="Q14:AX14"/>
    <mergeCell ref="T18:V18"/>
    <mergeCell ref="AJ18:AU18"/>
    <mergeCell ref="H9:H11"/>
    <mergeCell ref="I9:I11"/>
    <mergeCell ref="L9:L11"/>
    <mergeCell ref="M9:M11"/>
    <mergeCell ref="N9:N11"/>
    <mergeCell ref="Q10:AX10"/>
    <mergeCell ref="Q11:AX11"/>
    <mergeCell ref="K9:K11"/>
    <mergeCell ref="J9:J11"/>
    <mergeCell ref="T16:AB16"/>
    <mergeCell ref="AC16:AO16"/>
    <mergeCell ref="AP16:AX16"/>
    <mergeCell ref="Q6:AX6"/>
    <mergeCell ref="Q7:AX7"/>
    <mergeCell ref="Q8:AX8"/>
    <mergeCell ref="A9:A11"/>
    <mergeCell ref="B9:B11"/>
    <mergeCell ref="C9:C11"/>
    <mergeCell ref="D9:D11"/>
    <mergeCell ref="E9:E11"/>
    <mergeCell ref="F9:F11"/>
    <mergeCell ref="G9:G11"/>
    <mergeCell ref="G6:G8"/>
    <mergeCell ref="H6:H8"/>
    <mergeCell ref="I6:I8"/>
    <mergeCell ref="L6:L8"/>
    <mergeCell ref="M6:M8"/>
    <mergeCell ref="N6:N8"/>
    <mergeCell ref="M3:M5"/>
    <mergeCell ref="N3:N5"/>
    <mergeCell ref="A6:A8"/>
    <mergeCell ref="B6:B8"/>
    <mergeCell ref="C6:C8"/>
    <mergeCell ref="D6:D8"/>
    <mergeCell ref="E6:E8"/>
    <mergeCell ref="J3:J5"/>
    <mergeCell ref="K3:K5"/>
    <mergeCell ref="J6:J8"/>
    <mergeCell ref="K6:K8"/>
    <mergeCell ref="Q3:AX3"/>
    <mergeCell ref="Q4:AX4"/>
    <mergeCell ref="Q5:AX5"/>
    <mergeCell ref="A1:O1"/>
    <mergeCell ref="O2:O6"/>
    <mergeCell ref="A3:A5"/>
    <mergeCell ref="B3:B5"/>
    <mergeCell ref="C3:C5"/>
    <mergeCell ref="D3:D5"/>
    <mergeCell ref="E3:E5"/>
    <mergeCell ref="F3:F5"/>
    <mergeCell ref="G3:G5"/>
    <mergeCell ref="H3:H5"/>
    <mergeCell ref="F6:F8"/>
    <mergeCell ref="I3:I5"/>
    <mergeCell ref="L3:L5"/>
  </mergeCells>
  <dataValidations count="1">
    <dataValidation type="list" allowBlank="1" showInputMessage="1" showErrorMessage="1" sqref="AY3" xr:uid="{00000000-0002-0000-0000-000000000000}">
      <formula1>#REF!</formula1>
    </dataValidation>
  </dataValidations>
  <printOptions horizontalCentered="1" verticalCentered="1"/>
  <pageMargins left="0.23622047244093999" right="0.23622047244093999" top="0.23622047244093999" bottom="0.23622047244093999" header="0" footer="0"/>
  <pageSetup paperSize="9" scale="84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4"/>
  <sheetViews>
    <sheetView tabSelected="1" view="pageBreakPreview" zoomScale="69" zoomScaleNormal="25" workbookViewId="0">
      <selection activeCell="L7" sqref="L7:O28"/>
    </sheetView>
  </sheetViews>
  <sheetFormatPr defaultColWidth="12.5" defaultRowHeight="15.6" x14ac:dyDescent="0.3"/>
  <cols>
    <col min="1" max="1" width="13.69921875" customWidth="1"/>
    <col min="2" max="2" width="12.19921875" customWidth="1"/>
    <col min="3" max="3" width="10.5" customWidth="1"/>
    <col min="4" max="4" width="10.296875" customWidth="1"/>
    <col min="5" max="6" width="7.5" customWidth="1"/>
    <col min="7" max="7" width="15.19921875" customWidth="1"/>
    <col min="8" max="8" width="4.69921875" customWidth="1"/>
    <col min="9" max="9" width="18.19921875" customWidth="1"/>
    <col min="10" max="10" width="15.5" customWidth="1"/>
    <col min="11" max="11" width="22.19921875" customWidth="1"/>
    <col min="12" max="15" width="5.5" customWidth="1"/>
    <col min="16" max="16" width="8.19921875" customWidth="1"/>
    <col min="18" max="18" width="55.796875" hidden="1" customWidth="1"/>
    <col min="19" max="24" width="12.5" hidden="1"/>
  </cols>
  <sheetData>
    <row r="1" spans="1:24" x14ac:dyDescent="0.3">
      <c r="A1" s="121"/>
      <c r="B1" s="121"/>
      <c r="C1" s="121"/>
      <c r="D1" s="121"/>
      <c r="E1" s="121"/>
      <c r="F1" s="121"/>
      <c r="G1" s="121"/>
      <c r="H1" s="15"/>
      <c r="I1" s="122"/>
      <c r="J1" s="122"/>
      <c r="K1" s="122"/>
      <c r="L1" s="122"/>
      <c r="M1" s="122"/>
      <c r="N1" s="122"/>
      <c r="O1" s="122"/>
      <c r="P1" s="15"/>
      <c r="Q1" s="15"/>
    </row>
    <row r="2" spans="1:24" ht="19.2" customHeight="1" x14ac:dyDescent="0.35">
      <c r="A2" s="123" t="s">
        <v>59</v>
      </c>
      <c r="B2" s="104"/>
      <c r="C2" s="104"/>
      <c r="D2" s="104"/>
      <c r="E2" s="104"/>
      <c r="F2" s="104"/>
      <c r="G2" s="104"/>
      <c r="H2" s="15"/>
      <c r="I2" s="123" t="s">
        <v>60</v>
      </c>
      <c r="J2" s="104"/>
      <c r="K2" s="104"/>
      <c r="L2" s="104"/>
      <c r="M2" s="104"/>
      <c r="N2" s="104"/>
      <c r="O2" s="104"/>
      <c r="P2" s="15"/>
      <c r="Q2" s="15"/>
    </row>
    <row r="3" spans="1:24" ht="15.6" customHeight="1" x14ac:dyDescent="0.3">
      <c r="A3" s="16"/>
      <c r="B3" s="16"/>
      <c r="C3" s="16"/>
      <c r="D3" s="16"/>
      <c r="E3" s="16"/>
      <c r="F3" s="16"/>
      <c r="G3" s="16"/>
      <c r="H3" s="15"/>
      <c r="I3" s="15"/>
      <c r="J3" s="15"/>
      <c r="K3" s="15"/>
      <c r="L3" s="15"/>
      <c r="M3" s="15"/>
      <c r="N3" s="15"/>
      <c r="O3" s="15"/>
      <c r="P3" s="15"/>
      <c r="Q3" s="15"/>
    </row>
    <row r="4" spans="1:24" ht="16.8" customHeight="1" x14ac:dyDescent="0.3">
      <c r="A4" s="124" t="s">
        <v>61</v>
      </c>
      <c r="B4" s="104"/>
      <c r="C4" s="17"/>
      <c r="D4" s="17"/>
      <c r="E4" s="17"/>
      <c r="F4" s="17"/>
      <c r="G4" s="17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24" ht="16.8" customHeight="1" x14ac:dyDescent="0.3">
      <c r="A5" s="143" t="s">
        <v>62</v>
      </c>
      <c r="B5" s="144"/>
      <c r="C5" s="144"/>
      <c r="D5" s="145"/>
      <c r="E5" s="149" t="s">
        <v>63</v>
      </c>
      <c r="F5" s="150"/>
      <c r="G5" s="151" t="s">
        <v>64</v>
      </c>
      <c r="H5" s="15"/>
      <c r="I5" s="153" t="s">
        <v>65</v>
      </c>
      <c r="J5" s="143" t="s">
        <v>66</v>
      </c>
      <c r="K5" s="145"/>
      <c r="L5" s="155" t="s">
        <v>67</v>
      </c>
      <c r="M5" s="156"/>
      <c r="N5" s="156"/>
      <c r="O5" s="150"/>
      <c r="P5" s="15"/>
      <c r="Q5" s="15"/>
    </row>
    <row r="6" spans="1:24" ht="16.8" customHeight="1" x14ac:dyDescent="0.3">
      <c r="A6" s="146"/>
      <c r="B6" s="147"/>
      <c r="C6" s="147"/>
      <c r="D6" s="148"/>
      <c r="E6" s="18">
        <v>1</v>
      </c>
      <c r="F6" s="18">
        <v>2</v>
      </c>
      <c r="G6" s="152"/>
      <c r="H6" s="15"/>
      <c r="I6" s="154"/>
      <c r="J6" s="146"/>
      <c r="K6" s="148"/>
      <c r="L6" s="19">
        <v>1</v>
      </c>
      <c r="M6" s="19">
        <v>2</v>
      </c>
      <c r="N6" s="19">
        <v>3</v>
      </c>
      <c r="O6" s="19">
        <v>4</v>
      </c>
      <c r="P6" s="15"/>
      <c r="Q6" s="15"/>
    </row>
    <row r="7" spans="1:24" ht="19.5" customHeight="1" x14ac:dyDescent="0.3">
      <c r="A7" s="157" t="s">
        <v>68</v>
      </c>
      <c r="B7" s="156"/>
      <c r="C7" s="156"/>
      <c r="D7" s="156"/>
      <c r="E7" s="156"/>
      <c r="F7" s="156"/>
      <c r="G7" s="150"/>
      <c r="H7" s="15"/>
      <c r="I7" s="142" t="s">
        <v>69</v>
      </c>
      <c r="J7" s="131" t="s">
        <v>70</v>
      </c>
      <c r="K7" s="132"/>
      <c r="L7" s="137"/>
      <c r="M7" s="137"/>
      <c r="N7" s="137"/>
      <c r="O7" s="137"/>
      <c r="P7" s="15"/>
      <c r="Q7" s="15"/>
      <c r="R7" s="125" t="str">
        <f>IF($A$1="","",IF(VLOOKUP($A$1,#REF!,39,FALSE)="","",VLOOKUP($A$1,#REF!,39,FALSE)))</f>
        <v/>
      </c>
      <c r="S7" s="126"/>
      <c r="T7" s="126"/>
      <c r="U7" s="127"/>
      <c r="V7" s="35" t="str">
        <f>IF(R7="","",VLOOKUP(R7,#REF!,2,FALSE))</f>
        <v/>
      </c>
      <c r="W7" s="20" t="str">
        <f>IF($A$1="","",IF(VLOOKUP($A$1,#REF!,40,FALSE)="","",VLOOKUP($A$1,#REF!,40,FALSE)))</f>
        <v/>
      </c>
      <c r="X7" s="20" t="str">
        <f>IF($A$1="","",IF(VLOOKUP($A$1,#REF!,41,FALSE)="","",VLOOKUP($A$1,#REF!,41,FALSE)))</f>
        <v/>
      </c>
    </row>
    <row r="8" spans="1:24" ht="16.8" customHeight="1" x14ac:dyDescent="0.3">
      <c r="A8" s="128" t="str">
        <f t="shared" ref="A8:A15" si="0">IFERROR(IF(V7="Core",R7,IF(V8="Core",R8,IF(V9="Core",R9,IF(V10="Core",R10,IF(V11="Core",R11,IF(V12="Core",R12,IF(V13="Core",R13,IF(V14="Core",R14,IF(V15="Core",R15,""))))))))),"")</f>
        <v/>
      </c>
      <c r="B8" s="129"/>
      <c r="C8" s="129"/>
      <c r="D8" s="130"/>
      <c r="E8" s="20"/>
      <c r="F8" s="20"/>
      <c r="G8" s="21" t="e">
        <f>AVERAGE(E8:F8)</f>
        <v>#DIV/0!</v>
      </c>
      <c r="H8" s="15"/>
      <c r="I8" s="138"/>
      <c r="J8" s="133"/>
      <c r="K8" s="134"/>
      <c r="L8" s="138"/>
      <c r="M8" s="138"/>
      <c r="N8" s="138"/>
      <c r="O8" s="138"/>
      <c r="P8" s="15"/>
      <c r="Q8" s="15"/>
      <c r="R8" s="110" t="str">
        <f>IF($A$1="","",IF(VLOOKUP($A$1,#REF!,43,FALSE)="","",VLOOKUP($A$1,#REF!,43,FALSE)))</f>
        <v/>
      </c>
      <c r="S8" s="111"/>
      <c r="T8" s="111"/>
      <c r="U8" s="112"/>
      <c r="V8" s="35" t="str">
        <f>IF(R8="","",VLOOKUP(R8,#REF!,2,FALSE))</f>
        <v/>
      </c>
      <c r="W8" s="20" t="str">
        <f>IF($A$1="","",IF(VLOOKUP($A$1,#REF!,44,FALSE)="","",VLOOKUP($A$1,#REF!,44,FALSE)))</f>
        <v/>
      </c>
      <c r="X8" s="20" t="str">
        <f>IF($A$1="","",IF(VLOOKUP($A$1,#REF!,45,FALSE)="","",VLOOKUP($A$1,#REF!,45,FALSE)))</f>
        <v/>
      </c>
    </row>
    <row r="9" spans="1:24" ht="16.8" customHeight="1" x14ac:dyDescent="0.3">
      <c r="A9" s="125" t="str">
        <f t="shared" si="0"/>
        <v/>
      </c>
      <c r="B9" s="126"/>
      <c r="C9" s="126"/>
      <c r="D9" s="127"/>
      <c r="E9" s="20"/>
      <c r="F9" s="20"/>
      <c r="G9" s="21" t="e">
        <f t="shared" ref="G9:G15" si="1">AVERAGE(E9:F9)</f>
        <v>#DIV/0!</v>
      </c>
      <c r="H9" s="15"/>
      <c r="I9" s="138"/>
      <c r="J9" s="135"/>
      <c r="K9" s="136"/>
      <c r="L9" s="139"/>
      <c r="M9" s="139"/>
      <c r="N9" s="139"/>
      <c r="O9" s="139"/>
      <c r="P9" s="15"/>
      <c r="Q9" s="15"/>
      <c r="R9" s="125" t="str">
        <f>IF($A$1="","",IF(VLOOKUP($A$1,#REF!,47,FALSE)="","",VLOOKUP($A$1,#REF!,47,FALSE)))</f>
        <v/>
      </c>
      <c r="S9" s="126"/>
      <c r="T9" s="126"/>
      <c r="U9" s="127"/>
      <c r="V9" s="35" t="str">
        <f>IF(R9="","",VLOOKUP(R9,#REF!,2,FALSE))</f>
        <v/>
      </c>
      <c r="W9" s="20" t="str">
        <f>IF($A$1="","",IF(VLOOKUP($A$1,#REF!,48,FALSE)="","",VLOOKUP($A$1,#REF!,48,FALSE)))</f>
        <v/>
      </c>
      <c r="X9" s="20" t="str">
        <f>IF($A$1="","",IF(VLOOKUP($A$1,#REF!,49,FALSE)="","",VLOOKUP($A$1,#REF!,49,FALSE)))</f>
        <v/>
      </c>
    </row>
    <row r="10" spans="1:24" ht="16.8" customHeight="1" x14ac:dyDescent="0.3">
      <c r="A10" s="128" t="str">
        <f t="shared" si="0"/>
        <v/>
      </c>
      <c r="B10" s="129"/>
      <c r="C10" s="129"/>
      <c r="D10" s="130"/>
      <c r="E10" s="20"/>
      <c r="F10" s="20"/>
      <c r="G10" s="21" t="e">
        <f t="shared" si="1"/>
        <v>#DIV/0!</v>
      </c>
      <c r="H10" s="15"/>
      <c r="I10" s="138"/>
      <c r="J10" s="131" t="s">
        <v>72</v>
      </c>
      <c r="K10" s="132"/>
      <c r="L10" s="137"/>
      <c r="M10" s="137"/>
      <c r="N10" s="137"/>
      <c r="O10" s="137"/>
      <c r="P10" s="15"/>
      <c r="Q10" s="15"/>
      <c r="R10" s="110" t="str">
        <f>IF($A$1="","",IF(VLOOKUP($A$1,#REF!,51,FALSE)="","",VLOOKUP($A$1,#REF!,51,FALSE)))</f>
        <v/>
      </c>
      <c r="S10" s="111"/>
      <c r="T10" s="111"/>
      <c r="U10" s="112"/>
      <c r="V10" s="35" t="str">
        <f>IF(R10="","",VLOOKUP(R10,#REF!,2,FALSE))</f>
        <v/>
      </c>
      <c r="W10" s="20" t="str">
        <f>IF($A$1="","",IF(VLOOKUP($A$1,#REF!,52,FALSE)="","",VLOOKUP($A$1,#REF!,52,FALSE)))</f>
        <v/>
      </c>
      <c r="X10" s="20" t="str">
        <f>IF($A$1="","",IF(VLOOKUP($A$1,#REF!,53,FALSE)="","",VLOOKUP($A$1,#REF!,53,FALSE)))</f>
        <v/>
      </c>
    </row>
    <row r="11" spans="1:24" ht="16.8" customHeight="1" x14ac:dyDescent="0.3">
      <c r="A11" s="125" t="str">
        <f t="shared" si="0"/>
        <v/>
      </c>
      <c r="B11" s="126"/>
      <c r="C11" s="126"/>
      <c r="D11" s="127"/>
      <c r="E11" s="20"/>
      <c r="F11" s="20"/>
      <c r="G11" s="21" t="e">
        <f t="shared" si="1"/>
        <v>#DIV/0!</v>
      </c>
      <c r="H11" s="15"/>
      <c r="I11" s="138"/>
      <c r="J11" s="133"/>
      <c r="K11" s="134"/>
      <c r="L11" s="138"/>
      <c r="M11" s="140"/>
      <c r="N11" s="138"/>
      <c r="O11" s="138"/>
      <c r="P11" s="15"/>
      <c r="Q11" s="15"/>
      <c r="R11" s="110" t="str">
        <f>IF($A$1="","",IF(VLOOKUP($A$1,#REF!,55,FALSE)="","",VLOOKUP($A$1,#REF!,55,FALSE)))</f>
        <v/>
      </c>
      <c r="S11" s="111"/>
      <c r="T11" s="111"/>
      <c r="U11" s="112"/>
      <c r="V11" s="35" t="str">
        <f>IF(R11="","",VLOOKUP(R11,#REF!,2,FALSE))</f>
        <v/>
      </c>
      <c r="W11" s="20" t="str">
        <f>IF($A$1="","",IF(VLOOKUP($A$1,#REF!,56,FALSE)="","",VLOOKUP($A$1,#REF!,56,FALSE)))</f>
        <v/>
      </c>
      <c r="X11" s="20" t="str">
        <f>IF($A$1="","",IF(VLOOKUP($A$1,#REF!,57,FALSE)="","",VLOOKUP($A$1,#REF!,57,FALSE)))</f>
        <v/>
      </c>
    </row>
    <row r="12" spans="1:24" ht="16.8" customHeight="1" x14ac:dyDescent="0.3">
      <c r="A12" s="125" t="str">
        <f t="shared" si="0"/>
        <v/>
      </c>
      <c r="B12" s="126"/>
      <c r="C12" s="126"/>
      <c r="D12" s="127"/>
      <c r="E12" s="20"/>
      <c r="F12" s="20"/>
      <c r="G12" s="21" t="e">
        <f t="shared" si="1"/>
        <v>#DIV/0!</v>
      </c>
      <c r="H12" s="15"/>
      <c r="I12" s="139"/>
      <c r="J12" s="135"/>
      <c r="K12" s="136"/>
      <c r="L12" s="139"/>
      <c r="M12" s="141"/>
      <c r="N12" s="139"/>
      <c r="O12" s="139"/>
      <c r="P12" s="15"/>
      <c r="Q12" s="15"/>
      <c r="R12" s="110" t="str">
        <f>IF($A$1="","",IF(VLOOKUP($A$1,#REF!,59,FALSE)="","",VLOOKUP($A$1,#REF!,59,FALSE)))</f>
        <v/>
      </c>
      <c r="S12" s="111"/>
      <c r="T12" s="111"/>
      <c r="U12" s="112"/>
      <c r="V12" s="35" t="str">
        <f>IF(R12="","",VLOOKUP(R12,#REF!,2,FALSE))</f>
        <v/>
      </c>
      <c r="W12" s="20" t="str">
        <f>IF($A$1="","",IF(VLOOKUP($A$1,#REF!,60,FALSE)="","",VLOOKUP($A$1,#REF!,60,FALSE)))</f>
        <v/>
      </c>
      <c r="X12" s="20" t="str">
        <f>IF($A$1="","",IF(VLOOKUP($A$1,#REF!,61,FALSE)="","",VLOOKUP($A$1,#REF!,61,FALSE)))</f>
        <v/>
      </c>
    </row>
    <row r="13" spans="1:24" ht="16.8" customHeight="1" x14ac:dyDescent="0.3">
      <c r="A13" s="125" t="str">
        <f t="shared" si="0"/>
        <v/>
      </c>
      <c r="B13" s="126"/>
      <c r="C13" s="126"/>
      <c r="D13" s="127"/>
      <c r="E13" s="20"/>
      <c r="F13" s="20"/>
      <c r="G13" s="21" t="e">
        <f t="shared" si="1"/>
        <v>#DIV/0!</v>
      </c>
      <c r="H13" s="15"/>
      <c r="I13" s="142" t="s">
        <v>74</v>
      </c>
      <c r="J13" s="131" t="s">
        <v>75</v>
      </c>
      <c r="K13" s="132"/>
      <c r="L13" s="137"/>
      <c r="M13" s="137"/>
      <c r="N13" s="137"/>
      <c r="O13" s="137"/>
      <c r="P13" s="15"/>
      <c r="Q13" s="15"/>
      <c r="R13" s="113" t="str">
        <f>IF($A$1="","",IF(VLOOKUP($A$1,#REF!,63,FALSE)="","",VLOOKUP($A$1,#REF!,63,FALSE)))</f>
        <v/>
      </c>
      <c r="S13" s="114"/>
      <c r="T13" s="114"/>
      <c r="U13" s="115"/>
      <c r="V13" s="35" t="str">
        <f>IF(R13="","",VLOOKUP(R13,#REF!,2,FALSE))</f>
        <v/>
      </c>
      <c r="W13" s="20" t="str">
        <f>IF($A$1="","",IF(VLOOKUP($A$1,#REF!,64,FALSE)="","",VLOOKUP($A$1,#REF!,64,FALSE)))</f>
        <v/>
      </c>
      <c r="X13" s="20" t="str">
        <f>IF($A$1="","",IF(VLOOKUP($A$1,#REF!,65,FALSE)="","",VLOOKUP($A$1,#REF!,65,FALSE)))</f>
        <v/>
      </c>
    </row>
    <row r="14" spans="1:24" ht="16.8" customHeight="1" x14ac:dyDescent="0.3">
      <c r="A14" s="125" t="str">
        <f t="shared" si="0"/>
        <v/>
      </c>
      <c r="B14" s="126"/>
      <c r="C14" s="126"/>
      <c r="D14" s="127"/>
      <c r="E14" s="20"/>
      <c r="F14" s="20"/>
      <c r="G14" s="21" t="e">
        <f t="shared" si="1"/>
        <v>#DIV/0!</v>
      </c>
      <c r="H14" s="15"/>
      <c r="I14" s="138"/>
      <c r="J14" s="133"/>
      <c r="K14" s="134"/>
      <c r="L14" s="138"/>
      <c r="M14" s="140"/>
      <c r="N14" s="138"/>
      <c r="O14" s="138"/>
      <c r="P14" s="15"/>
      <c r="Q14" s="15"/>
      <c r="R14" s="110" t="str">
        <f>IF($A$1="","",IF(VLOOKUP($A$1,#REF!,67,FALSE)="","",VLOOKUP($A$1,#REF!,67,FALSE)))</f>
        <v/>
      </c>
      <c r="S14" s="111"/>
      <c r="T14" s="111"/>
      <c r="U14" s="112"/>
      <c r="V14" s="35" t="str">
        <f>IF(R14="","",VLOOKUP(R14,#REF!,2,FALSE))</f>
        <v/>
      </c>
      <c r="W14" s="20" t="str">
        <f>IF($A$1="","",IF(VLOOKUP($A$1,#REF!,68,FALSE)="","",VLOOKUP($A$1,#REF!,68,FALSE)))</f>
        <v/>
      </c>
      <c r="X14" s="20" t="str">
        <f>IF($A$1="","",IF(VLOOKUP($A$1,#REF!,69,FALSE)="","",VLOOKUP($A$1,#REF!,69,FALSE)))</f>
        <v/>
      </c>
    </row>
    <row r="15" spans="1:24" ht="16.8" customHeight="1" x14ac:dyDescent="0.3">
      <c r="A15" s="125" t="str">
        <f t="shared" si="0"/>
        <v/>
      </c>
      <c r="B15" s="126"/>
      <c r="C15" s="126"/>
      <c r="D15" s="127"/>
      <c r="E15" s="20"/>
      <c r="F15" s="20"/>
      <c r="G15" s="21" t="e">
        <f t="shared" si="1"/>
        <v>#DIV/0!</v>
      </c>
      <c r="H15" s="15"/>
      <c r="I15" s="138"/>
      <c r="J15" s="135"/>
      <c r="K15" s="136"/>
      <c r="L15" s="139"/>
      <c r="M15" s="141"/>
      <c r="N15" s="139"/>
      <c r="O15" s="139"/>
      <c r="P15" s="15"/>
      <c r="Q15" s="15"/>
      <c r="R15" s="110" t="str">
        <f>IF($A$1="","",IF(VLOOKUP($A$1,#REF!,71,FALSE)="","",VLOOKUP($A$1,#REF!,71,FALSE)))</f>
        <v/>
      </c>
      <c r="S15" s="111"/>
      <c r="T15" s="111"/>
      <c r="U15" s="112"/>
      <c r="V15" s="35" t="str">
        <f>IF(R15="","",VLOOKUP(R15,#REF!,2,FALSE))</f>
        <v/>
      </c>
      <c r="W15" s="20" t="str">
        <f>IF($A$1="","",IF(VLOOKUP($A$1,#REF!,72,FALSE)="","",VLOOKUP($A$1,#REF!,72,FALSE)))</f>
        <v/>
      </c>
      <c r="X15" s="20" t="str">
        <f>IF($A$1="","",IF(VLOOKUP($A$1,#REF!,73,FALSE)="","",VLOOKUP($A$1,#REF!,73,FALSE)))</f>
        <v/>
      </c>
    </row>
    <row r="16" spans="1:24" ht="16.8" customHeight="1" x14ac:dyDescent="0.3">
      <c r="A16" s="157" t="s">
        <v>77</v>
      </c>
      <c r="B16" s="158"/>
      <c r="C16" s="158"/>
      <c r="D16" s="158"/>
      <c r="E16" s="158"/>
      <c r="F16" s="158"/>
      <c r="G16" s="159"/>
      <c r="H16" s="15"/>
      <c r="I16" s="138"/>
      <c r="J16" s="131" t="s">
        <v>78</v>
      </c>
      <c r="K16" s="132"/>
      <c r="L16" s="137"/>
      <c r="M16" s="137"/>
      <c r="N16" s="137"/>
      <c r="O16" s="137"/>
      <c r="P16" s="15"/>
      <c r="Q16" s="15"/>
      <c r="R16" s="110" t="str">
        <f>IF($A$1="","",IF(VLOOKUP($A$1,#REF!,75,FALSE)="","",VLOOKUP($A$1,#REF!,75,FALSE)))</f>
        <v/>
      </c>
      <c r="S16" s="111"/>
      <c r="T16" s="111"/>
      <c r="U16" s="112"/>
      <c r="V16" s="35" t="str">
        <f>IF(R16="","",VLOOKUP(R16,#REF!,2,FALSE))</f>
        <v/>
      </c>
      <c r="W16" s="20" t="str">
        <f>IF($A$1="","",IF(VLOOKUP($A$1,#REF!,76,FALSE)="","",VLOOKUP($A$1,#REF!,76,FALSE)))</f>
        <v/>
      </c>
      <c r="X16" s="20" t="str">
        <f>IF($A$1="","",IF(VLOOKUP($A$1,#REF!,77,FALSE)="","",VLOOKUP($A$1,#REF!,77,FALSE)))</f>
        <v/>
      </c>
    </row>
    <row r="17" spans="1:24" ht="16.8" customHeight="1" x14ac:dyDescent="0.3">
      <c r="A17" s="110"/>
      <c r="B17" s="111"/>
      <c r="C17" s="111"/>
      <c r="D17" s="112"/>
      <c r="E17" s="20"/>
      <c r="F17" s="20"/>
      <c r="G17" s="21" t="e">
        <f>AVERAGE(E17:F17)</f>
        <v>#DIV/0!</v>
      </c>
      <c r="H17" s="15"/>
      <c r="I17" s="138"/>
      <c r="J17" s="133"/>
      <c r="K17" s="134"/>
      <c r="L17" s="138"/>
      <c r="M17" s="140"/>
      <c r="N17" s="138"/>
      <c r="O17" s="138"/>
      <c r="P17" s="15"/>
      <c r="Q17" s="15"/>
      <c r="R17" s="117" t="str">
        <f>IF($A$1="","",IF(VLOOKUP($A$1,#REF!,79,FALSE)="","",VLOOKUP($A$1,#REF!,79,FALSE)))</f>
        <v/>
      </c>
      <c r="S17" s="118"/>
      <c r="T17" s="118"/>
      <c r="U17" s="119"/>
      <c r="V17" s="35" t="str">
        <f>IF(R17="","",VLOOKUP(R17,#REF!,2,FALSE))</f>
        <v/>
      </c>
      <c r="W17" s="35" t="str">
        <f>IF($A$1="","",IF(VLOOKUP($A$1,#REF!,80,FALSE)="","",VLOOKUP($A$1,#REF!,80,FALSE)))</f>
        <v/>
      </c>
      <c r="X17" s="35" t="str">
        <f>IF($A$1="","",IF(VLOOKUP($A$1,#REF!,81,FALSE)="","",VLOOKUP($A$1,#REF!,81,FALSE)))</f>
        <v/>
      </c>
    </row>
    <row r="18" spans="1:24" ht="16.8" customHeight="1" x14ac:dyDescent="0.3">
      <c r="A18" s="110"/>
      <c r="B18" s="111"/>
      <c r="C18" s="111"/>
      <c r="D18" s="112"/>
      <c r="E18" s="20"/>
      <c r="F18" s="20"/>
      <c r="G18" s="21" t="e">
        <f t="shared" ref="G18:G21" si="2">AVERAGE(E18:F18)</f>
        <v>#DIV/0!</v>
      </c>
      <c r="H18" s="15"/>
      <c r="I18" s="139"/>
      <c r="J18" s="135"/>
      <c r="K18" s="136"/>
      <c r="L18" s="139"/>
      <c r="M18" s="141"/>
      <c r="N18" s="139"/>
      <c r="O18" s="139"/>
      <c r="P18" s="15"/>
      <c r="Q18" s="15"/>
      <c r="R18" s="117" t="str">
        <f>IF($A$1="","",IF(VLOOKUP($A$1,#REF!,83,FALSE)="","",VLOOKUP($A$1,#REF!,83,FALSE)))</f>
        <v/>
      </c>
      <c r="S18" s="118"/>
      <c r="T18" s="118"/>
      <c r="U18" s="119"/>
      <c r="V18" s="35" t="str">
        <f>IF(R18="","",VLOOKUP(R18,#REF!,2,FALSE))</f>
        <v/>
      </c>
      <c r="W18" s="35" t="str">
        <f>IF($A$1="","",IF(VLOOKUP($A$1,#REF!,84,FALSE)="","",VLOOKUP($A$1,#REF!,84,FALSE)))</f>
        <v/>
      </c>
      <c r="X18" s="35" t="str">
        <f>IF($A$1="","",IF(VLOOKUP($A$1,#REF!,85,FALSE)="","",VLOOKUP($A$1,#REF!,85,FALSE)))</f>
        <v/>
      </c>
    </row>
    <row r="19" spans="1:24" ht="16.8" customHeight="1" x14ac:dyDescent="0.3">
      <c r="A19" s="110"/>
      <c r="B19" s="111"/>
      <c r="C19" s="111"/>
      <c r="D19" s="112"/>
      <c r="E19" s="20"/>
      <c r="F19" s="20"/>
      <c r="G19" s="21" t="e">
        <f t="shared" si="2"/>
        <v>#DIV/0!</v>
      </c>
      <c r="H19" s="15"/>
      <c r="I19" s="162" t="s">
        <v>80</v>
      </c>
      <c r="J19" s="165" t="s">
        <v>81</v>
      </c>
      <c r="K19" s="166"/>
      <c r="L19" s="137"/>
      <c r="M19" s="137"/>
      <c r="N19" s="137"/>
      <c r="O19" s="137"/>
      <c r="P19" s="15"/>
      <c r="Q19" s="15"/>
      <c r="R19" s="120"/>
      <c r="S19" s="120"/>
      <c r="T19" s="120"/>
      <c r="U19" s="120"/>
      <c r="V19" t="str">
        <f>IF(R19="","",VLOOKUP(R19,#REF!,2,FALSE))</f>
        <v/>
      </c>
    </row>
    <row r="20" spans="1:24" ht="16.8" customHeight="1" x14ac:dyDescent="0.3">
      <c r="A20" s="110"/>
      <c r="B20" s="111"/>
      <c r="C20" s="111"/>
      <c r="D20" s="112"/>
      <c r="E20" s="20"/>
      <c r="F20" s="20"/>
      <c r="G20" s="21" t="e">
        <f t="shared" si="2"/>
        <v>#DIV/0!</v>
      </c>
      <c r="H20" s="15"/>
      <c r="I20" s="163"/>
      <c r="J20" s="167"/>
      <c r="K20" s="168"/>
      <c r="L20" s="138"/>
      <c r="M20" s="140"/>
      <c r="N20" s="138"/>
      <c r="O20" s="138"/>
      <c r="P20" s="15"/>
      <c r="Q20" s="15"/>
      <c r="R20" s="116"/>
      <c r="S20" s="116"/>
      <c r="T20" s="116"/>
      <c r="U20" s="116"/>
      <c r="V20" t="str">
        <f>IF(R20="","",VLOOKUP(R20,#REF!,2,FALSE))</f>
        <v/>
      </c>
    </row>
    <row r="21" spans="1:24" ht="16.8" customHeight="1" x14ac:dyDescent="0.3">
      <c r="A21" s="110"/>
      <c r="B21" s="111"/>
      <c r="C21" s="111"/>
      <c r="D21" s="112"/>
      <c r="E21" s="20"/>
      <c r="F21" s="20"/>
      <c r="G21" s="21" t="e">
        <f t="shared" si="2"/>
        <v>#DIV/0!</v>
      </c>
      <c r="H21" s="15"/>
      <c r="I21" s="164"/>
      <c r="J21" s="169"/>
      <c r="K21" s="170"/>
      <c r="L21" s="139"/>
      <c r="M21" s="141"/>
      <c r="N21" s="139"/>
      <c r="O21" s="139"/>
      <c r="P21" s="15"/>
      <c r="Q21" s="15"/>
      <c r="R21" s="116"/>
      <c r="S21" s="116"/>
      <c r="T21" s="116"/>
      <c r="U21" s="116"/>
      <c r="V21" t="str">
        <f>IF(R21="","",VLOOKUP(R21,#REF!,2,FALSE))</f>
        <v/>
      </c>
    </row>
    <row r="22" spans="1:24" ht="16.8" customHeight="1" x14ac:dyDescent="0.3">
      <c r="A22" s="171" t="s">
        <v>82</v>
      </c>
      <c r="B22" s="172"/>
      <c r="C22" s="172"/>
      <c r="D22" s="172"/>
      <c r="E22" s="172"/>
      <c r="F22" s="172"/>
      <c r="G22" s="31" t="e">
        <f>AVERAGE(G17:G21)</f>
        <v>#DIV/0!</v>
      </c>
      <c r="H22" s="15"/>
      <c r="I22" s="142" t="s">
        <v>83</v>
      </c>
      <c r="J22" s="165" t="s">
        <v>84</v>
      </c>
      <c r="K22" s="166"/>
      <c r="L22" s="137"/>
      <c r="M22" s="137"/>
      <c r="N22" s="137"/>
      <c r="O22" s="137"/>
      <c r="P22" s="15"/>
      <c r="Q22" s="15"/>
      <c r="R22" s="116"/>
      <c r="S22" s="116"/>
      <c r="T22" s="116"/>
      <c r="U22" s="116"/>
    </row>
    <row r="23" spans="1:24" ht="16.8" customHeight="1" x14ac:dyDescent="0.3">
      <c r="A23" s="160"/>
      <c r="B23" s="160"/>
      <c r="C23" s="160"/>
      <c r="D23" s="160"/>
      <c r="E23" s="17"/>
      <c r="F23" s="17"/>
      <c r="G23" s="22"/>
      <c r="H23" s="15"/>
      <c r="I23" s="173"/>
      <c r="J23" s="174"/>
      <c r="K23" s="168"/>
      <c r="L23" s="140"/>
      <c r="M23" s="140"/>
      <c r="N23" s="140"/>
      <c r="O23" s="140"/>
      <c r="P23" s="15"/>
      <c r="Q23" s="15"/>
    </row>
    <row r="24" spans="1:24" ht="16.8" customHeight="1" x14ac:dyDescent="0.3">
      <c r="A24" s="161"/>
      <c r="B24" s="161"/>
      <c r="C24" s="161"/>
      <c r="D24" s="161"/>
      <c r="E24" s="30"/>
      <c r="F24" s="30"/>
      <c r="G24" s="15"/>
      <c r="H24" s="15"/>
      <c r="I24" s="138"/>
      <c r="J24" s="167"/>
      <c r="K24" s="168"/>
      <c r="L24" s="138"/>
      <c r="M24" s="140"/>
      <c r="N24" s="138"/>
      <c r="O24" s="138"/>
      <c r="P24" s="15"/>
      <c r="Q24" s="15"/>
    </row>
    <row r="25" spans="1:24" ht="16.8" customHeight="1" x14ac:dyDescent="0.3">
      <c r="A25" s="124" t="s">
        <v>85</v>
      </c>
      <c r="B25" s="104"/>
      <c r="C25" s="17"/>
      <c r="D25" s="17"/>
      <c r="E25" s="17"/>
      <c r="F25" s="17"/>
      <c r="G25" s="17"/>
      <c r="H25" s="15"/>
      <c r="I25" s="138"/>
      <c r="J25" s="169"/>
      <c r="K25" s="170"/>
      <c r="L25" s="139"/>
      <c r="M25" s="141"/>
      <c r="N25" s="139"/>
      <c r="O25" s="139"/>
      <c r="P25" s="15"/>
      <c r="Q25" s="15"/>
    </row>
    <row r="26" spans="1:24" ht="16.8" customHeight="1" x14ac:dyDescent="0.3">
      <c r="A26" s="143" t="s">
        <v>62</v>
      </c>
      <c r="B26" s="144"/>
      <c r="C26" s="144"/>
      <c r="D26" s="145"/>
      <c r="E26" s="149" t="s">
        <v>63</v>
      </c>
      <c r="F26" s="150"/>
      <c r="G26" s="151" t="s">
        <v>64</v>
      </c>
      <c r="H26" s="15"/>
      <c r="I26" s="138"/>
      <c r="J26" s="165" t="s">
        <v>86</v>
      </c>
      <c r="K26" s="166"/>
      <c r="L26" s="137"/>
      <c r="M26" s="137"/>
      <c r="N26" s="137"/>
      <c r="O26" s="137"/>
      <c r="P26" s="15"/>
      <c r="Q26" s="15"/>
    </row>
    <row r="27" spans="1:24" ht="16.8" customHeight="1" x14ac:dyDescent="0.3">
      <c r="A27" s="146"/>
      <c r="B27" s="147"/>
      <c r="C27" s="147"/>
      <c r="D27" s="148"/>
      <c r="E27" s="18">
        <v>3</v>
      </c>
      <c r="F27" s="18">
        <v>4</v>
      </c>
      <c r="G27" s="152"/>
      <c r="H27" s="15"/>
      <c r="I27" s="138"/>
      <c r="J27" s="167"/>
      <c r="K27" s="168"/>
      <c r="L27" s="138"/>
      <c r="M27" s="140"/>
      <c r="N27" s="138"/>
      <c r="O27" s="138"/>
      <c r="P27" s="15"/>
      <c r="Q27" s="15"/>
    </row>
    <row r="28" spans="1:24" ht="16.8" customHeight="1" x14ac:dyDescent="0.3">
      <c r="A28" s="157" t="s">
        <v>68</v>
      </c>
      <c r="B28" s="158"/>
      <c r="C28" s="158"/>
      <c r="D28" s="158"/>
      <c r="E28" s="158"/>
      <c r="F28" s="158"/>
      <c r="G28" s="159"/>
      <c r="H28" s="15"/>
      <c r="I28" s="139"/>
      <c r="J28" s="169"/>
      <c r="K28" s="170"/>
      <c r="L28" s="139"/>
      <c r="M28" s="141"/>
      <c r="N28" s="139"/>
      <c r="O28" s="139"/>
      <c r="P28" s="15"/>
      <c r="Q28" s="15"/>
      <c r="R28" s="35" t="str">
        <f>IF($A$1="","",IF(VLOOKUP($A$1,#REF!,96,FALSE)="","",VLOOKUP($A$1,#REF!,96,FALSE)))</f>
        <v/>
      </c>
      <c r="S28" s="35" t="str">
        <f>IF(R28="","",VLOOKUP(R28,#REF!,2,FALSE))</f>
        <v/>
      </c>
      <c r="T28" s="35" t="str">
        <f>IF($A$1="","",IF(VLOOKUP($A$1,#REF!,97,FALSE)="","",VLOOKUP($A$1,#REF!,97,FALSE)))</f>
        <v/>
      </c>
      <c r="U28" s="35" t="str">
        <f>IF($A$1="","",IF(VLOOKUP($A$1,#REF!,98,FALSE)="","",VLOOKUP($A$1,#REF!,98,FALSE)))</f>
        <v/>
      </c>
    </row>
    <row r="29" spans="1:24" ht="16.8" customHeight="1" x14ac:dyDescent="0.3">
      <c r="A29" s="110"/>
      <c r="B29" s="111"/>
      <c r="C29" s="111"/>
      <c r="D29" s="112"/>
      <c r="E29" s="20"/>
      <c r="F29" s="20"/>
      <c r="G29" s="21" t="e">
        <f>AVERAGE(E29:F29)</f>
        <v>#DIV/0!</v>
      </c>
      <c r="H29" s="15"/>
      <c r="I29" s="23"/>
      <c r="J29" s="23"/>
      <c r="K29" s="23"/>
      <c r="L29" s="23"/>
      <c r="M29" s="23"/>
      <c r="N29" s="23"/>
      <c r="O29" s="23"/>
      <c r="P29" s="15"/>
      <c r="Q29" s="15"/>
      <c r="R29" s="35" t="str">
        <f>IF($A$1="","",IF(VLOOKUP($A$1,#REF!,100,FALSE)="","",VLOOKUP($A$1,#REF!,100,FALSE)))</f>
        <v/>
      </c>
      <c r="S29" s="35" t="str">
        <f>IF(R29="","",VLOOKUP(R29,#REF!,2,FALSE))</f>
        <v/>
      </c>
      <c r="T29" s="35" t="str">
        <f>IF($A$1="","",IF(VLOOKUP($A$1,#REF!,101,FALSE)="","",VLOOKUP($A$1,#REF!,101,FALSE)))</f>
        <v/>
      </c>
      <c r="U29" s="35" t="str">
        <f>IF($A$1="","",IF(VLOOKUP($A$1,#REF!,102,FALSE)="","",VLOOKUP($A$1,#REF!,102,FALSE)))</f>
        <v/>
      </c>
    </row>
    <row r="30" spans="1:24" ht="16.8" customHeight="1" x14ac:dyDescent="0.3">
      <c r="A30" s="175"/>
      <c r="B30" s="176"/>
      <c r="C30" s="176"/>
      <c r="D30" s="177"/>
      <c r="E30" s="20"/>
      <c r="F30" s="20"/>
      <c r="G30" s="21" t="e">
        <f t="shared" ref="G30:G35" si="3">AVERAGE(E30:F30)</f>
        <v>#DIV/0!</v>
      </c>
      <c r="H30" s="15"/>
      <c r="I30" s="24" t="s">
        <v>87</v>
      </c>
      <c r="J30" s="24"/>
      <c r="K30" s="23"/>
      <c r="L30" s="23"/>
      <c r="M30" s="23"/>
      <c r="N30" s="23"/>
      <c r="O30" s="23"/>
      <c r="P30" s="15"/>
      <c r="Q30" s="15"/>
      <c r="R30" s="35" t="str">
        <f>IF($A$1="","",IF(VLOOKUP($A$1,#REF!,104,FALSE)="","",VLOOKUP($A$1,#REF!,104,FALSE)))</f>
        <v/>
      </c>
      <c r="S30" s="35" t="str">
        <f>IF(R30="","",VLOOKUP(R30,#REF!,2,FALSE))</f>
        <v/>
      </c>
      <c r="T30" s="35" t="str">
        <f>IF($A$1="","",IF(VLOOKUP($A$1,#REF!,105,FALSE)="","",VLOOKUP($A$1,#REF!,105,FALSE)))</f>
        <v/>
      </c>
      <c r="U30" s="35" t="str">
        <f>IF($A$1="","",IF(VLOOKUP($A$1,#REF!,106,FALSE)="","",VLOOKUP($A$1,#REF!,106,FALSE)))</f>
        <v/>
      </c>
    </row>
    <row r="31" spans="1:24" ht="16.8" customHeight="1" x14ac:dyDescent="0.3">
      <c r="A31" s="110"/>
      <c r="B31" s="111"/>
      <c r="C31" s="111"/>
      <c r="D31" s="112"/>
      <c r="E31" s="20"/>
      <c r="F31" s="20"/>
      <c r="G31" s="21" t="e">
        <f t="shared" si="3"/>
        <v>#DIV/0!</v>
      </c>
      <c r="H31" s="15"/>
      <c r="I31" s="24" t="s">
        <v>88</v>
      </c>
      <c r="J31" s="24" t="s">
        <v>89</v>
      </c>
      <c r="K31" s="23"/>
      <c r="L31" s="23"/>
      <c r="M31" s="23"/>
      <c r="N31" s="23"/>
      <c r="O31" s="23"/>
      <c r="P31" s="15"/>
      <c r="Q31" s="15"/>
      <c r="R31" s="35" t="str">
        <f>IF($A$1="","",IF(VLOOKUP($A$1,#REF!,108,FALSE)="","",VLOOKUP($A$1,#REF!,108,FALSE)))</f>
        <v/>
      </c>
      <c r="S31" s="35" t="str">
        <f>IF(R31="","",VLOOKUP(R31,#REF!,2,FALSE))</f>
        <v/>
      </c>
      <c r="T31" s="35" t="str">
        <f>IF($A$1="","",IF(VLOOKUP($A$1,#REF!,109,FALSE)="","",VLOOKUP($A$1,#REF!,109,FALSE)))</f>
        <v/>
      </c>
      <c r="U31" s="35" t="str">
        <f>IF($A$1="","",IF(VLOOKUP($A$1,#REF!,110,FALSE)="","",VLOOKUP($A$1,#REF!,110,FALSE)))</f>
        <v/>
      </c>
    </row>
    <row r="32" spans="1:24" ht="16.8" customHeight="1" x14ac:dyDescent="0.3">
      <c r="A32" s="110"/>
      <c r="B32" s="111"/>
      <c r="C32" s="111"/>
      <c r="D32" s="112"/>
      <c r="E32" s="20"/>
      <c r="F32" s="20"/>
      <c r="G32" s="21" t="e">
        <f t="shared" si="3"/>
        <v>#DIV/0!</v>
      </c>
      <c r="H32" s="15"/>
      <c r="I32" s="23" t="s">
        <v>71</v>
      </c>
      <c r="J32" s="23" t="s">
        <v>90</v>
      </c>
      <c r="K32" s="23"/>
      <c r="L32" s="23"/>
      <c r="M32" s="23"/>
      <c r="N32" s="23"/>
      <c r="O32" s="23"/>
      <c r="P32" s="15"/>
      <c r="Q32" s="15"/>
      <c r="R32" s="35" t="str">
        <f>IF($A$1="","",IF(VLOOKUP($A$1,#REF!,112,FALSE)="","",VLOOKUP($A$1,#REF!,112,FALSE)))</f>
        <v/>
      </c>
      <c r="S32" s="35" t="str">
        <f>IF(R32="","",VLOOKUP(R32,#REF!,2,FALSE))</f>
        <v/>
      </c>
      <c r="T32" s="35" t="str">
        <f>IF($A$1="","",IF(VLOOKUP($A$1,#REF!,113,FALSE)="","",VLOOKUP($A$1,#REF!,113,FALSE)))</f>
        <v/>
      </c>
      <c r="U32" s="35" t="str">
        <f>IF($A$1="","",IF(VLOOKUP($A$1,#REF!,114,FALSE)="","",VLOOKUP($A$1,#REF!,114,FALSE)))</f>
        <v/>
      </c>
    </row>
    <row r="33" spans="1:21" ht="16.8" customHeight="1" x14ac:dyDescent="0.3">
      <c r="A33" s="110"/>
      <c r="B33" s="111"/>
      <c r="C33" s="111"/>
      <c r="D33" s="112"/>
      <c r="E33" s="20"/>
      <c r="F33" s="20"/>
      <c r="G33" s="21" t="e">
        <f t="shared" si="3"/>
        <v>#DIV/0!</v>
      </c>
      <c r="H33" s="15"/>
      <c r="I33" s="23" t="s">
        <v>73</v>
      </c>
      <c r="J33" s="23" t="s">
        <v>91</v>
      </c>
      <c r="K33" s="23"/>
      <c r="L33" s="23"/>
      <c r="M33" s="23"/>
      <c r="N33" s="23"/>
      <c r="O33" s="23"/>
      <c r="P33" s="15"/>
      <c r="Q33" s="15"/>
      <c r="R33" s="35" t="str">
        <f>IF($A$1="","",IF(VLOOKUP($A$1,#REF!,116,FALSE)="","",VLOOKUP($A$1,#REF!,116,FALSE)))</f>
        <v/>
      </c>
      <c r="S33" s="35" t="str">
        <f>IF(R33="","",VLOOKUP(R33,#REF!,2,FALSE))</f>
        <v/>
      </c>
      <c r="T33" s="35" t="str">
        <f>IF($A$1="","",IF(VLOOKUP($A$1,#REF!,117,FALSE)="","",VLOOKUP($A$1,#REF!,117,FALSE)))</f>
        <v/>
      </c>
      <c r="U33" s="35" t="str">
        <f>IF($A$1="","",IF(VLOOKUP($A$1,#REF!,118,FALSE)="","",VLOOKUP($A$1,#REF!,118,FALSE)))</f>
        <v/>
      </c>
    </row>
    <row r="34" spans="1:21" ht="16.8" customHeight="1" x14ac:dyDescent="0.3">
      <c r="A34" s="110"/>
      <c r="B34" s="111"/>
      <c r="C34" s="111"/>
      <c r="D34" s="112"/>
      <c r="E34" s="20"/>
      <c r="F34" s="20"/>
      <c r="G34" s="21" t="e">
        <f t="shared" si="3"/>
        <v>#DIV/0!</v>
      </c>
      <c r="H34" s="15"/>
      <c r="I34" s="23" t="s">
        <v>76</v>
      </c>
      <c r="J34" s="23" t="s">
        <v>92</v>
      </c>
      <c r="K34" s="23"/>
      <c r="L34" s="23"/>
      <c r="M34" s="23"/>
      <c r="N34" s="23"/>
      <c r="O34" s="23"/>
      <c r="P34" s="15"/>
      <c r="Q34" s="15"/>
      <c r="R34" s="35" t="str">
        <f>IF($A$1="","",IF(VLOOKUP($A$1,#REF!,120,FALSE)="","",VLOOKUP($A$1,#REF!,120,FALSE)))</f>
        <v/>
      </c>
      <c r="S34" s="35" t="str">
        <f>IF(R34="","",VLOOKUP(R34,#REF!,2,FALSE))</f>
        <v/>
      </c>
      <c r="T34" s="35" t="str">
        <f>IF($A$1="","",IF(VLOOKUP($A$1,#REF!,121,FALSE)="","",VLOOKUP($A$1,#REF!,121,FALSE)))</f>
        <v/>
      </c>
      <c r="U34" s="35" t="str">
        <f>IF($A$1="","",IF(VLOOKUP($A$1,#REF!,122,FALSE)="","",VLOOKUP($A$1,#REF!,122,FALSE)))</f>
        <v/>
      </c>
    </row>
    <row r="35" spans="1:21" ht="16.8" customHeight="1" x14ac:dyDescent="0.3">
      <c r="A35" s="113"/>
      <c r="B35" s="114"/>
      <c r="C35" s="114"/>
      <c r="D35" s="115"/>
      <c r="E35" s="20"/>
      <c r="F35" s="20"/>
      <c r="G35" s="21" t="e">
        <f t="shared" si="3"/>
        <v>#DIV/0!</v>
      </c>
      <c r="H35" s="15"/>
      <c r="I35" s="23" t="s">
        <v>79</v>
      </c>
      <c r="J35" s="23" t="s">
        <v>93</v>
      </c>
      <c r="K35" s="23"/>
      <c r="L35" s="23"/>
      <c r="M35" s="23"/>
      <c r="N35" s="23"/>
      <c r="O35" s="23"/>
      <c r="P35" s="15"/>
      <c r="Q35" s="15"/>
      <c r="R35" s="35" t="str">
        <f>IF($A$1="","",IF(VLOOKUP($A$1,#REF!,124,FALSE)="","",VLOOKUP($A$1,#REF!,124,FALSE)))</f>
        <v/>
      </c>
      <c r="S35" s="35" t="str">
        <f>IF(R35="","",VLOOKUP(R35,#REF!,2,FALSE))</f>
        <v/>
      </c>
      <c r="T35" s="35" t="str">
        <f>IF($A$1="","",IF(VLOOKUP($A$1,#REF!,125,FALSE)="","",VLOOKUP($A$1,#REF!,125,FALSE)))</f>
        <v/>
      </c>
      <c r="U35" s="35" t="str">
        <f>IF($A$1="","",IF(VLOOKUP($A$1,#REF!,126,FALSE)="","",VLOOKUP($A$1,#REF!,126,FALSE)))</f>
        <v/>
      </c>
    </row>
    <row r="36" spans="1:21" ht="16.8" customHeight="1" x14ac:dyDescent="0.3">
      <c r="A36" s="25" t="s">
        <v>77</v>
      </c>
      <c r="B36" s="26"/>
      <c r="C36" s="26"/>
      <c r="D36" s="26"/>
      <c r="E36" s="26"/>
      <c r="F36" s="26"/>
      <c r="G36" s="27"/>
      <c r="H36" s="15"/>
      <c r="I36" s="23"/>
      <c r="J36" s="23"/>
      <c r="K36" s="23"/>
      <c r="L36" s="23"/>
      <c r="M36" s="23"/>
      <c r="N36" s="23"/>
      <c r="O36" s="23"/>
      <c r="P36" s="15"/>
      <c r="Q36" s="15"/>
      <c r="R36" s="35" t="str">
        <f>IF($A$1="","",IF(VLOOKUP($A$1,#REF!,128,FALSE)="","",VLOOKUP($A$1,#REF!,128,FALSE)))</f>
        <v/>
      </c>
      <c r="S36" s="35" t="str">
        <f>IF(R36="","",VLOOKUP(R36,#REF!,2,FALSE))</f>
        <v/>
      </c>
      <c r="T36" s="35" t="str">
        <f>IF($A$1="","",IF(VLOOKUP($A$1,#REF!,129,FALSE)="","",VLOOKUP($A$1,#REF!,129,FALSE)))</f>
        <v/>
      </c>
      <c r="U36" s="35" t="str">
        <f>IF($A$1="","",IF(VLOOKUP($A$1,#REF!,130,FALSE)="","",VLOOKUP($A$1,#REF!,130,FALSE)))</f>
        <v/>
      </c>
    </row>
    <row r="37" spans="1:21" ht="16.5" customHeight="1" x14ac:dyDescent="0.3">
      <c r="A37" s="110"/>
      <c r="B37" s="111"/>
      <c r="C37" s="111"/>
      <c r="D37" s="112"/>
      <c r="E37" s="20"/>
      <c r="F37" s="20"/>
      <c r="G37" s="21" t="e">
        <f>AVERAGE(E37:F37)</f>
        <v>#DIV/0!</v>
      </c>
      <c r="H37" s="15"/>
      <c r="I37" s="24" t="s">
        <v>94</v>
      </c>
      <c r="J37" s="24"/>
      <c r="K37" s="24"/>
      <c r="L37" s="24"/>
      <c r="M37" s="23"/>
      <c r="N37" s="23"/>
      <c r="O37" s="23"/>
      <c r="P37" s="15"/>
      <c r="Q37" s="15"/>
      <c r="R37" s="35" t="str">
        <f>IF($A$1="","",IF(VLOOKUP($A$1,#REF!,132,FALSE)="","",VLOOKUP($A$1,#REF!,132,FALSE)))</f>
        <v/>
      </c>
      <c r="S37" s="35" t="str">
        <f>IF(R37="","",VLOOKUP(R37,#REF!,2,FALSE))</f>
        <v/>
      </c>
      <c r="T37" s="35" t="str">
        <f>IF($A$1="","",IF(VLOOKUP($A$1,#REF!,133,FALSE)="","",VLOOKUP($A$1,#REF!,133,FALSE)))</f>
        <v/>
      </c>
      <c r="U37" s="35" t="str">
        <f>IF($A$1="","",IF(VLOOKUP($A$1,#REF!,134,FALSE)="","",VLOOKUP($A$1,#REF!,134,FALSE)))</f>
        <v/>
      </c>
    </row>
    <row r="38" spans="1:21" ht="16.5" customHeight="1" x14ac:dyDescent="0.3">
      <c r="A38" s="110"/>
      <c r="B38" s="111"/>
      <c r="C38" s="111"/>
      <c r="D38" s="112"/>
      <c r="E38" s="20"/>
      <c r="F38" s="20"/>
      <c r="G38" s="21" t="e">
        <f t="shared" ref="G38:G42" si="4">AVERAGE(E38:F38)</f>
        <v>#DIV/0!</v>
      </c>
      <c r="H38" s="15"/>
      <c r="I38" s="24" t="s">
        <v>95</v>
      </c>
      <c r="J38" s="24"/>
      <c r="K38" s="24" t="s">
        <v>96</v>
      </c>
      <c r="L38" s="24"/>
      <c r="M38" s="24" t="s">
        <v>97</v>
      </c>
      <c r="N38" s="23"/>
      <c r="O38" s="23"/>
      <c r="P38" s="15"/>
      <c r="Q38" s="15"/>
      <c r="R38" s="35" t="str">
        <f>IF($A$1="","",IF(VLOOKUP($A$1,#REF!,136,FALSE)="","",VLOOKUP($A$1,#REF!,136,FALSE)))</f>
        <v/>
      </c>
      <c r="S38" s="35" t="str">
        <f>IF(R38="","",VLOOKUP(R38,#REF!,2,FALSE))</f>
        <v/>
      </c>
      <c r="T38" s="35" t="str">
        <f>IF($A$1="","",IF(VLOOKUP($A$1,#REF!,137,FALSE)="","",VLOOKUP($A$1,#REF!,137,FALSE)))</f>
        <v/>
      </c>
      <c r="U38" s="35" t="str">
        <f>IF($A$1="","",IF(VLOOKUP($A$1,#REF!,138,FALSE)="","",VLOOKUP($A$1,#REF!,138,FALSE)))</f>
        <v/>
      </c>
    </row>
    <row r="39" spans="1:21" ht="16.5" customHeight="1" x14ac:dyDescent="0.3">
      <c r="A39" s="181"/>
      <c r="B39" s="182"/>
      <c r="C39" s="182"/>
      <c r="D39" s="183"/>
      <c r="E39" s="20"/>
      <c r="F39" s="20"/>
      <c r="G39" s="21" t="e">
        <f t="shared" si="4"/>
        <v>#DIV/0!</v>
      </c>
      <c r="H39" s="15"/>
      <c r="I39" s="23" t="s">
        <v>98</v>
      </c>
      <c r="J39" s="23"/>
      <c r="K39" s="23" t="s">
        <v>99</v>
      </c>
      <c r="L39" s="23"/>
      <c r="M39" s="23" t="s">
        <v>100</v>
      </c>
      <c r="N39" s="23"/>
      <c r="O39" s="23"/>
      <c r="P39" s="15"/>
      <c r="Q39" s="15"/>
      <c r="R39" s="35" t="str">
        <f>IF($A$1="","",IF(VLOOKUP($A$1,#REF!,140,FALSE)="","",VLOOKUP($A$1,#REF!,140,FALSE)))</f>
        <v/>
      </c>
      <c r="S39" s="35" t="str">
        <f>IF(R39="","",VLOOKUP(R39,#REF!,2,FALSE))</f>
        <v/>
      </c>
      <c r="T39" s="35" t="str">
        <f>IF($A$1="","",IF(VLOOKUP($A$1,#REF!,141,FALSE)="","",VLOOKUP($A$1,#REF!,141,FALSE)))</f>
        <v/>
      </c>
      <c r="U39" s="35" t="str">
        <f>IF($A$1="","",IF(VLOOKUP($A$1,#REF!,142,FALSE)="","",VLOOKUP($A$1,#REF!,142,FALSE)))</f>
        <v/>
      </c>
    </row>
    <row r="40" spans="1:21" ht="16.5" customHeight="1" x14ac:dyDescent="0.3">
      <c r="A40" s="110"/>
      <c r="B40" s="111"/>
      <c r="C40" s="111"/>
      <c r="D40" s="112"/>
      <c r="E40" s="20"/>
      <c r="F40" s="20"/>
      <c r="G40" s="21" t="e">
        <f t="shared" si="4"/>
        <v>#DIV/0!</v>
      </c>
      <c r="H40" s="15"/>
      <c r="I40" s="23" t="s">
        <v>101</v>
      </c>
      <c r="J40" s="23"/>
      <c r="K40" s="23" t="s">
        <v>102</v>
      </c>
      <c r="L40" s="23"/>
      <c r="M40" s="23" t="s">
        <v>100</v>
      </c>
      <c r="N40" s="23"/>
      <c r="O40" s="23"/>
      <c r="P40" s="15"/>
      <c r="Q40" s="15"/>
    </row>
    <row r="41" spans="1:21" ht="16.5" customHeight="1" x14ac:dyDescent="0.3">
      <c r="A41" s="110"/>
      <c r="B41" s="111"/>
      <c r="C41" s="111"/>
      <c r="D41" s="112"/>
      <c r="E41" s="20"/>
      <c r="F41" s="20"/>
      <c r="G41" s="21" t="e">
        <f t="shared" si="4"/>
        <v>#DIV/0!</v>
      </c>
      <c r="H41" s="15"/>
      <c r="I41" s="23" t="s">
        <v>103</v>
      </c>
      <c r="J41" s="23"/>
      <c r="K41" s="23" t="s">
        <v>104</v>
      </c>
      <c r="L41" s="23"/>
      <c r="M41" s="23" t="s">
        <v>100</v>
      </c>
      <c r="N41" s="23"/>
      <c r="O41" s="23"/>
      <c r="P41" s="15"/>
      <c r="Q41" s="15"/>
    </row>
    <row r="42" spans="1:21" ht="16.8" customHeight="1" x14ac:dyDescent="0.3">
      <c r="A42" s="110"/>
      <c r="B42" s="111"/>
      <c r="C42" s="111"/>
      <c r="D42" s="112"/>
      <c r="E42" s="20"/>
      <c r="F42" s="20"/>
      <c r="G42" s="21" t="e">
        <f t="shared" si="4"/>
        <v>#DIV/0!</v>
      </c>
      <c r="H42" s="15"/>
      <c r="I42" s="23" t="s">
        <v>105</v>
      </c>
      <c r="J42" s="23"/>
      <c r="K42" s="23" t="s">
        <v>106</v>
      </c>
      <c r="L42" s="23"/>
      <c r="M42" s="23" t="s">
        <v>100</v>
      </c>
      <c r="N42" s="23"/>
      <c r="O42" s="23"/>
      <c r="P42" s="15"/>
      <c r="Q42" s="15"/>
    </row>
    <row r="43" spans="1:21" ht="18.600000000000001" customHeight="1" x14ac:dyDescent="0.3">
      <c r="A43" s="178" t="s">
        <v>82</v>
      </c>
      <c r="B43" s="179"/>
      <c r="C43" s="179"/>
      <c r="D43" s="179"/>
      <c r="E43" s="179"/>
      <c r="F43" s="180"/>
      <c r="G43" s="21" t="e">
        <f>AVERAGE(G37:G42)</f>
        <v>#DIV/0!</v>
      </c>
      <c r="H43" s="15"/>
      <c r="I43" s="23" t="s">
        <v>107</v>
      </c>
      <c r="J43" s="23"/>
      <c r="K43" s="23" t="s">
        <v>108</v>
      </c>
      <c r="L43" s="23"/>
      <c r="M43" s="23" t="s">
        <v>109</v>
      </c>
      <c r="N43" s="28"/>
      <c r="O43" s="15"/>
      <c r="P43" s="15"/>
      <c r="Q43" s="15"/>
    </row>
    <row r="44" spans="1:21" x14ac:dyDescent="0.3">
      <c r="A44" s="29"/>
      <c r="B44" s="29"/>
      <c r="C44" s="29"/>
      <c r="D44" s="15"/>
      <c r="E44" s="29"/>
      <c r="F44" s="29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</row>
  </sheetData>
  <mergeCells count="103">
    <mergeCell ref="A42:D42"/>
    <mergeCell ref="A43:F43"/>
    <mergeCell ref="A35:D35"/>
    <mergeCell ref="A37:D37"/>
    <mergeCell ref="A38:D38"/>
    <mergeCell ref="A39:D39"/>
    <mergeCell ref="A40:D40"/>
    <mergeCell ref="A41:D41"/>
    <mergeCell ref="A34:D34"/>
    <mergeCell ref="J26:K28"/>
    <mergeCell ref="L26:L28"/>
    <mergeCell ref="A32:D32"/>
    <mergeCell ref="A33:D33"/>
    <mergeCell ref="A29:D29"/>
    <mergeCell ref="A30:D30"/>
    <mergeCell ref="A31:D31"/>
    <mergeCell ref="E26:F26"/>
    <mergeCell ref="G26:G27"/>
    <mergeCell ref="M13:M15"/>
    <mergeCell ref="N13:N15"/>
    <mergeCell ref="O19:O21"/>
    <mergeCell ref="A20:D20"/>
    <mergeCell ref="A21:D21"/>
    <mergeCell ref="A18:D18"/>
    <mergeCell ref="A16:G16"/>
    <mergeCell ref="J16:K18"/>
    <mergeCell ref="L16:L18"/>
    <mergeCell ref="M16:M18"/>
    <mergeCell ref="N16:N18"/>
    <mergeCell ref="O16:O18"/>
    <mergeCell ref="A17:D17"/>
    <mergeCell ref="N19:N21"/>
    <mergeCell ref="A22:F22"/>
    <mergeCell ref="I22:I28"/>
    <mergeCell ref="J22:K25"/>
    <mergeCell ref="L22:L25"/>
    <mergeCell ref="M22:M25"/>
    <mergeCell ref="M26:M28"/>
    <mergeCell ref="N26:N28"/>
    <mergeCell ref="A19:D19"/>
    <mergeCell ref="I19:I21"/>
    <mergeCell ref="J19:K21"/>
    <mergeCell ref="L19:L21"/>
    <mergeCell ref="M19:M21"/>
    <mergeCell ref="O26:O28"/>
    <mergeCell ref="A28:G28"/>
    <mergeCell ref="A23:D23"/>
    <mergeCell ref="A24:D24"/>
    <mergeCell ref="A25:B25"/>
    <mergeCell ref="A26:D27"/>
    <mergeCell ref="N22:N25"/>
    <mergeCell ref="O22:O25"/>
    <mergeCell ref="O7:O9"/>
    <mergeCell ref="A8:D8"/>
    <mergeCell ref="A9:D9"/>
    <mergeCell ref="A5:D6"/>
    <mergeCell ref="E5:F5"/>
    <mergeCell ref="G5:G6"/>
    <mergeCell ref="I5:I6"/>
    <mergeCell ref="J5:K6"/>
    <mergeCell ref="L5:O5"/>
    <mergeCell ref="A7:G7"/>
    <mergeCell ref="J7:K9"/>
    <mergeCell ref="L7:L9"/>
    <mergeCell ref="M7:M9"/>
    <mergeCell ref="N7:N9"/>
    <mergeCell ref="A10:D10"/>
    <mergeCell ref="J10:K12"/>
    <mergeCell ref="L10:L12"/>
    <mergeCell ref="M10:M12"/>
    <mergeCell ref="O13:O15"/>
    <mergeCell ref="A14:D14"/>
    <mergeCell ref="A15:D15"/>
    <mergeCell ref="A13:D13"/>
    <mergeCell ref="I13:I18"/>
    <mergeCell ref="J13:K15"/>
    <mergeCell ref="L13:L15"/>
    <mergeCell ref="N10:N12"/>
    <mergeCell ref="O10:O12"/>
    <mergeCell ref="A11:D11"/>
    <mergeCell ref="A12:D12"/>
    <mergeCell ref="I7:I12"/>
    <mergeCell ref="R7:U7"/>
    <mergeCell ref="R8:U8"/>
    <mergeCell ref="R9:U9"/>
    <mergeCell ref="R10:U10"/>
    <mergeCell ref="R11:U11"/>
    <mergeCell ref="A1:G1"/>
    <mergeCell ref="I1:O1"/>
    <mergeCell ref="A2:G2"/>
    <mergeCell ref="I2:O2"/>
    <mergeCell ref="A4:B4"/>
    <mergeCell ref="R22:U22"/>
    <mergeCell ref="R17:U17"/>
    <mergeCell ref="R18:U18"/>
    <mergeCell ref="R19:U19"/>
    <mergeCell ref="R20:U20"/>
    <mergeCell ref="R21:U21"/>
    <mergeCell ref="R12:U12"/>
    <mergeCell ref="R13:U13"/>
    <mergeCell ref="R14:U14"/>
    <mergeCell ref="R15:U15"/>
    <mergeCell ref="R16:U16"/>
  </mergeCells>
  <dataValidations count="1">
    <dataValidation type="list" allowBlank="1" showInputMessage="1" showErrorMessage="1" sqref="A1" xr:uid="{00000000-0002-0000-0100-000000000000}">
      <formula1>#REF!</formula1>
    </dataValidation>
  </dataValidations>
  <printOptions horizontalCentered="1" verticalCentered="1"/>
  <pageMargins left="0.51181102362205" right="0.51181102362205" top="0.51181102362205" bottom="0.51181102362205" header="0" footer="0"/>
  <pageSetup paperSize="9" scale="70" fitToWidth="0" fitToHeight="0" orientation="landscape" r:id="rId1"/>
  <colBreaks count="1" manualBreakCount="1">
    <brk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"/>
  <sheetViews>
    <sheetView workbookViewId="0">
      <selection activeCell="B99" sqref="B99"/>
    </sheetView>
  </sheetViews>
  <sheetFormatPr defaultColWidth="8.796875" defaultRowHeight="15.6" x14ac:dyDescent="0.3"/>
  <cols>
    <col min="1" max="1" width="1.5" style="2" customWidth="1"/>
    <col min="2" max="2" width="8.796875" style="2"/>
    <col min="3" max="3" width="34" style="2" customWidth="1"/>
    <col min="4" max="4" width="32.5" style="2" customWidth="1"/>
    <col min="5" max="5" width="19.296875" style="2" customWidth="1"/>
    <col min="6" max="6" width="12.5" style="2" customWidth="1"/>
    <col min="7" max="7" width="8.796875" style="2"/>
  </cols>
  <sheetData>
    <row r="1" spans="1:13" x14ac:dyDescent="0.3">
      <c r="A1" s="1"/>
      <c r="B1" s="187" t="s">
        <v>110</v>
      </c>
      <c r="C1" s="187"/>
      <c r="D1" s="187"/>
      <c r="E1" s="187"/>
    </row>
    <row r="2" spans="1:13" x14ac:dyDescent="0.3">
      <c r="A2" s="1"/>
      <c r="B2" s="188" t="s">
        <v>111</v>
      </c>
      <c r="C2" s="188"/>
      <c r="D2" s="188"/>
      <c r="E2" s="188"/>
    </row>
    <row r="3" spans="1:13" hidden="1" x14ac:dyDescent="0.3">
      <c r="A3" s="1"/>
      <c r="B3" s="2" t="s">
        <v>112</v>
      </c>
      <c r="C3" s="2" t="s">
        <v>113</v>
      </c>
      <c r="D3" s="2" t="s">
        <v>114</v>
      </c>
      <c r="E3" s="2" t="s">
        <v>115</v>
      </c>
      <c r="F3" s="2" t="s">
        <v>116</v>
      </c>
    </row>
    <row r="4" spans="1:13" hidden="1" x14ac:dyDescent="0.3">
      <c r="A4" s="184">
        <v>1</v>
      </c>
      <c r="B4" s="5" t="e">
        <f>IF(#REF!="Core","Core",IF(#REF!="Applied","Applied",IF(#REF!="Specialized","Specialized",IF(#REF!="Other_Subjects","Other_Subjects"))))</f>
        <v>#REF!</v>
      </c>
      <c r="C4" s="6" t="s">
        <v>117</v>
      </c>
      <c r="D4" s="5" t="s">
        <v>118</v>
      </c>
      <c r="E4" s="3" t="e">
        <f>IF(#REF!="","",#REF!)</f>
        <v>#REF!</v>
      </c>
      <c r="F4" s="5" t="e">
        <f>IF(#REF!="","",#REF!)</f>
        <v>#REF!</v>
      </c>
    </row>
    <row r="5" spans="1:13" hidden="1" x14ac:dyDescent="0.3">
      <c r="A5" s="184"/>
      <c r="B5" s="7" t="e">
        <f>IF(#REF!="Core","Core",IF(#REF!="Applied","Applied",IF(#REF!="Specialized","Specialized",IF(#REF!="Other_Subjects","Other_Subjects"))))</f>
        <v>#REF!</v>
      </c>
      <c r="C5" s="8" t="s">
        <v>119</v>
      </c>
      <c r="D5" s="7" t="s">
        <v>120</v>
      </c>
      <c r="E5" s="2" t="e">
        <f>IF(#REF!="","",#REF!)</f>
        <v>#REF!</v>
      </c>
      <c r="F5" s="7" t="e">
        <f>IF(#REF!="","",#REF!)</f>
        <v>#REF!</v>
      </c>
    </row>
    <row r="6" spans="1:13" hidden="1" x14ac:dyDescent="0.3">
      <c r="A6" s="184"/>
      <c r="B6" s="7" t="e">
        <f>IF(#REF!="Core","Core",IF(#REF!="Applied","Applied",IF(#REF!="Specialized","Specialized",IF(#REF!="Other_Subjects","Other_Subjects"))))</f>
        <v>#REF!</v>
      </c>
      <c r="C6" s="8" t="s">
        <v>121</v>
      </c>
      <c r="D6" s="7" t="s">
        <v>122</v>
      </c>
      <c r="E6" s="2" t="e">
        <f>IF(#REF!="","",#REF!)</f>
        <v>#REF!</v>
      </c>
      <c r="F6" s="9" t="e">
        <f>IF(#REF!="","",#REF!)</f>
        <v>#REF!</v>
      </c>
      <c r="J6" s="1" t="s">
        <v>123</v>
      </c>
      <c r="K6" s="1"/>
      <c r="L6" s="1"/>
      <c r="M6" s="1" t="s">
        <v>124</v>
      </c>
    </row>
    <row r="7" spans="1:13" hidden="1" x14ac:dyDescent="0.3">
      <c r="A7" s="184"/>
      <c r="B7" s="7" t="e">
        <f>IF(#REF!="Core","Core",IF(#REF!="Applied","Applied",IF(#REF!="Specialized","Specialized",IF(#REF!="Other_Subjects","Other_Subjects"))))</f>
        <v>#REF!</v>
      </c>
      <c r="C7" s="8" t="s">
        <v>125</v>
      </c>
      <c r="D7" s="7" t="s">
        <v>126</v>
      </c>
      <c r="E7" s="4" t="e">
        <f>IF(#REF!="","",#REF!)</f>
        <v>#REF!</v>
      </c>
      <c r="I7" s="184">
        <v>1</v>
      </c>
      <c r="J7" s="1" t="e">
        <f>#REF!</f>
        <v>#REF!</v>
      </c>
      <c r="K7" s="1" t="e">
        <f>#REF!</f>
        <v>#REF!</v>
      </c>
      <c r="L7" s="1" t="e">
        <f t="shared" ref="L7:L38" si="0">IF(K7="PASSED","∕","")</f>
        <v>#REF!</v>
      </c>
      <c r="M7" s="13" t="str">
        <f>IFERROR(INDEX(#REF!,MATCH(1,(#REF!=$M$6)*(#REF!=$J$6),0),53),"")</f>
        <v/>
      </c>
    </row>
    <row r="8" spans="1:13" hidden="1" x14ac:dyDescent="0.3">
      <c r="A8" s="184"/>
      <c r="B8" s="7" t="e">
        <f>IF(#REF!="Core","Core",IF(#REF!="Applied","Applied",IF(#REF!="Specialized","Specialized",IF(#REF!="Other_Subjects","Other_Subjects"))))</f>
        <v>#REF!</v>
      </c>
      <c r="C8" s="8" t="s">
        <v>127</v>
      </c>
      <c r="D8" s="7" t="s">
        <v>128</v>
      </c>
      <c r="E8" s="4" t="e">
        <f>IF(#REF!="","",#REF!)</f>
        <v>#REF!</v>
      </c>
      <c r="I8" s="184"/>
      <c r="J8" s="1" t="e">
        <f>#REF!</f>
        <v>#REF!</v>
      </c>
      <c r="K8" s="1" t="e">
        <f>#REF!</f>
        <v>#REF!</v>
      </c>
      <c r="L8" s="1" t="e">
        <f t="shared" si="0"/>
        <v>#REF!</v>
      </c>
      <c r="M8" s="13" t="str">
        <f>IFERROR(INDEX(#REF!,MATCH(1,(#REF!=$M$6)*(#REF!=$J$6),0),53),"")</f>
        <v/>
      </c>
    </row>
    <row r="9" spans="1:13" hidden="1" x14ac:dyDescent="0.3">
      <c r="A9" s="184"/>
      <c r="B9" s="7" t="e">
        <f>IF(#REF!="Core","Core",IF(#REF!="Applied","Applied",IF(#REF!="Specialized","Specialized",IF(#REF!="Other_Subjects","Other_Subjects"))))</f>
        <v>#REF!</v>
      </c>
      <c r="C9" s="8" t="s">
        <v>129</v>
      </c>
      <c r="D9" s="7" t="s">
        <v>130</v>
      </c>
      <c r="E9" s="4" t="e">
        <f>IF(#REF!="","",#REF!)</f>
        <v>#REF!</v>
      </c>
      <c r="I9" s="184"/>
      <c r="J9" s="1" t="e">
        <f>#REF!</f>
        <v>#REF!</v>
      </c>
      <c r="K9" s="1" t="e">
        <f>#REF!</f>
        <v>#REF!</v>
      </c>
      <c r="L9" s="1" t="e">
        <f t="shared" si="0"/>
        <v>#REF!</v>
      </c>
      <c r="M9" s="13" t="str">
        <f>IFERROR(INDEX(#REF!,MATCH(1,(#REF!=$M$6)*(#REF!=$J$6),0),53),"")</f>
        <v/>
      </c>
    </row>
    <row r="10" spans="1:13" hidden="1" x14ac:dyDescent="0.3">
      <c r="A10" s="184"/>
      <c r="B10" s="7" t="e">
        <f>IF(#REF!="Core","Core",IF(#REF!="Applied","Applied",IF(#REF!="Specialized","Specialized",IF(#REF!="Other_Subjects","Other_Subjects"))))</f>
        <v>#REF!</v>
      </c>
      <c r="C10" s="8" t="s">
        <v>131</v>
      </c>
      <c r="D10" s="7" t="s">
        <v>132</v>
      </c>
      <c r="E10" s="4" t="e">
        <f>IF(#REF!="","",#REF!)</f>
        <v>#REF!</v>
      </c>
      <c r="I10" s="184"/>
      <c r="J10" s="1" t="e">
        <f>#REF!</f>
        <v>#REF!</v>
      </c>
      <c r="K10" s="1" t="e">
        <f>#REF!</f>
        <v>#REF!</v>
      </c>
      <c r="L10" s="1" t="e">
        <f t="shared" si="0"/>
        <v>#REF!</v>
      </c>
      <c r="M10" s="13" t="str">
        <f>IFERROR(INDEX(#REF!,MATCH(1,(#REF!=$M$6)*(#REF!=$J$6),0),53),"")</f>
        <v/>
      </c>
    </row>
    <row r="11" spans="1:13" hidden="1" x14ac:dyDescent="0.3">
      <c r="A11" s="184"/>
      <c r="B11" s="7" t="e">
        <f>IF(#REF!="Core","Core",IF(#REF!="Applied","Applied",IF(#REF!="Specialized","Specialized",IF(#REF!="Other_Subjects","Other_Subjects"))))</f>
        <v>#REF!</v>
      </c>
      <c r="C11" s="8" t="s">
        <v>133</v>
      </c>
      <c r="D11" s="9"/>
      <c r="E11" s="4" t="e">
        <f>IF(#REF!="","",#REF!)</f>
        <v>#REF!</v>
      </c>
      <c r="I11" s="184"/>
      <c r="J11" s="1" t="e">
        <f>#REF!</f>
        <v>#REF!</v>
      </c>
      <c r="K11" s="1" t="e">
        <f>#REF!</f>
        <v>#REF!</v>
      </c>
      <c r="L11" s="1" t="e">
        <f t="shared" si="0"/>
        <v>#REF!</v>
      </c>
      <c r="M11" s="13" t="str">
        <f>IFERROR(INDEX(#REF!,MATCH(1,(#REF!=$M$6)*(#REF!=$J$6),0),53),"")</f>
        <v/>
      </c>
    </row>
    <row r="12" spans="1:13" hidden="1" x14ac:dyDescent="0.3">
      <c r="A12" s="184"/>
      <c r="B12" s="7" t="e">
        <f>IF(#REF!="Core","Core",IF(#REF!="Applied","Applied",IF(#REF!="Specialized","Specialized",IF(#REF!="Other_Subjects","Other_Subjects"))))</f>
        <v>#REF!</v>
      </c>
      <c r="C12" s="8" t="s">
        <v>134</v>
      </c>
      <c r="E12" s="10" t="e">
        <f>IF(#REF!="","",#REF!)</f>
        <v>#REF!</v>
      </c>
      <c r="I12" s="184"/>
      <c r="J12" s="1" t="e">
        <f>#REF!</f>
        <v>#REF!</v>
      </c>
      <c r="K12" s="1" t="e">
        <f>#REF!</f>
        <v>#REF!</v>
      </c>
      <c r="L12" s="1" t="e">
        <f t="shared" si="0"/>
        <v>#REF!</v>
      </c>
      <c r="M12" s="13" t="str">
        <f>IFERROR(INDEX(#REF!,MATCH(1,(#REF!=$M$6)*(#REF!=$J$6),0),53),"")</f>
        <v/>
      </c>
    </row>
    <row r="13" spans="1:13" hidden="1" x14ac:dyDescent="0.3">
      <c r="A13" s="184"/>
      <c r="B13" s="7" t="e">
        <f>IF(#REF!="Core","Core",IF(#REF!="Applied","Applied",IF(#REF!="Specialized","Specialized",IF(#REF!="Other_Subjects","Other_Subjects"))))</f>
        <v>#REF!</v>
      </c>
      <c r="C13" s="7" t="s">
        <v>135</v>
      </c>
      <c r="I13" s="184"/>
      <c r="J13" s="1" t="e">
        <f>#REF!</f>
        <v>#REF!</v>
      </c>
      <c r="K13" s="1" t="e">
        <f>#REF!</f>
        <v>#REF!</v>
      </c>
      <c r="L13" s="1" t="e">
        <f t="shared" si="0"/>
        <v>#REF!</v>
      </c>
      <c r="M13" s="13" t="str">
        <f>IFERROR(INDEX(#REF!,MATCH(1,(#REF!=$M$6)*(#REF!=$J$6),0),53),"")</f>
        <v/>
      </c>
    </row>
    <row r="14" spans="1:13" hidden="1" x14ac:dyDescent="0.3">
      <c r="A14" s="184"/>
      <c r="B14" s="7" t="e">
        <f>IF(#REF!="Core","Core",IF(#REF!="Applied","Applied",IF(#REF!="Specialized","Specialized",IF(#REF!="Other_Subjects","Other_Subjects"))))</f>
        <v>#REF!</v>
      </c>
      <c r="C14" s="7" t="s">
        <v>136</v>
      </c>
      <c r="I14" s="184"/>
      <c r="J14" s="1" t="e">
        <f>#REF!</f>
        <v>#REF!</v>
      </c>
      <c r="K14" s="1" t="e">
        <f>#REF!</f>
        <v>#REF!</v>
      </c>
      <c r="L14" s="1" t="e">
        <f t="shared" si="0"/>
        <v>#REF!</v>
      </c>
      <c r="M14" s="13" t="str">
        <f>IFERROR(INDEX(#REF!,MATCH(1,(#REF!=$M$6)*(#REF!=$J$6),0),53),"")</f>
        <v/>
      </c>
    </row>
    <row r="15" spans="1:13" hidden="1" x14ac:dyDescent="0.3">
      <c r="A15" s="184"/>
      <c r="B15" s="7" t="e">
        <f>IF(#REF!="Core","Core",IF(#REF!="Applied","Applied",IF(#REF!="Specialized","Specialized",IF(#REF!="Other_Subjects","Other_Subjects"))))</f>
        <v>#REF!</v>
      </c>
      <c r="C15" s="7" t="s">
        <v>137</v>
      </c>
      <c r="I15" s="184"/>
      <c r="J15" s="1" t="e">
        <f>#REF!</f>
        <v>#REF!</v>
      </c>
      <c r="K15" s="1" t="e">
        <f>#REF!</f>
        <v>#REF!</v>
      </c>
      <c r="L15" s="1" t="e">
        <f t="shared" si="0"/>
        <v>#REF!</v>
      </c>
      <c r="M15" s="1"/>
    </row>
    <row r="16" spans="1:13" hidden="1" x14ac:dyDescent="0.3">
      <c r="A16" s="184">
        <v>2</v>
      </c>
      <c r="B16" s="5" t="e">
        <f>IF(#REF!="Core","Core",IF(#REF!="Applied","Applied",IF(#REF!="Specialized","Specialized",IF(#REF!="Other_Subjects","Other_Subjects"))))</f>
        <v>#REF!</v>
      </c>
      <c r="C16" s="7" t="s">
        <v>124</v>
      </c>
      <c r="I16" s="184"/>
      <c r="J16" s="1" t="e">
        <f>#REF!</f>
        <v>#REF!</v>
      </c>
      <c r="K16" s="1" t="e">
        <f>#REF!</f>
        <v>#REF!</v>
      </c>
      <c r="L16" s="1" t="e">
        <f t="shared" si="0"/>
        <v>#REF!</v>
      </c>
      <c r="M16" s="1"/>
    </row>
    <row r="17" spans="1:13" hidden="1" x14ac:dyDescent="0.3">
      <c r="A17" s="184"/>
      <c r="B17" s="7" t="e">
        <f>IF(#REF!="Core","Core",IF(#REF!="Applied","Applied",IF(#REF!="Specialized","Specialized",IF(#REF!="Other_Subjects","Other_Subjects"))))</f>
        <v>#REF!</v>
      </c>
      <c r="C17" s="7" t="s">
        <v>138</v>
      </c>
      <c r="I17" s="184"/>
      <c r="J17" s="1" t="e">
        <f>#REF!</f>
        <v>#REF!</v>
      </c>
      <c r="K17" s="1" t="e">
        <f>#REF!</f>
        <v>#REF!</v>
      </c>
      <c r="L17" s="1" t="e">
        <f t="shared" si="0"/>
        <v>#REF!</v>
      </c>
      <c r="M17" s="1"/>
    </row>
    <row r="18" spans="1:13" hidden="1" x14ac:dyDescent="0.3">
      <c r="A18" s="184"/>
      <c r="B18" s="7" t="e">
        <f>IF(#REF!="Core","Core",IF(#REF!="Applied","Applied",IF(#REF!="Specialized","Specialized",IF(#REF!="Other_Subjects","Other_Subjects"))))</f>
        <v>#REF!</v>
      </c>
      <c r="C18" s="7" t="s">
        <v>139</v>
      </c>
      <c r="I18" s="184"/>
      <c r="J18" s="1" t="e">
        <f>#REF!</f>
        <v>#REF!</v>
      </c>
      <c r="K18" s="1" t="e">
        <f>#REF!</f>
        <v>#REF!</v>
      </c>
      <c r="L18" s="1" t="e">
        <f t="shared" si="0"/>
        <v>#REF!</v>
      </c>
      <c r="M18" s="1"/>
    </row>
    <row r="19" spans="1:13" hidden="1" x14ac:dyDescent="0.3">
      <c r="A19" s="184"/>
      <c r="B19" s="7" t="e">
        <f>IF(#REF!="Core","Core",IF(#REF!="Applied","Applied",IF(#REF!="Specialized","Specialized",IF(#REF!="Other_Subjects","Other_Subjects"))))</f>
        <v>#REF!</v>
      </c>
      <c r="C19" s="7" t="s">
        <v>140</v>
      </c>
      <c r="I19" s="185">
        <v>2</v>
      </c>
      <c r="J19" s="1" t="e">
        <f>#REF!</f>
        <v>#REF!</v>
      </c>
      <c r="K19" s="1" t="e">
        <f>#REF!</f>
        <v>#REF!</v>
      </c>
      <c r="L19" s="1" t="e">
        <f t="shared" si="0"/>
        <v>#REF!</v>
      </c>
      <c r="M19" s="1"/>
    </row>
    <row r="20" spans="1:13" hidden="1" x14ac:dyDescent="0.3">
      <c r="A20" s="184"/>
      <c r="B20" s="7" t="e">
        <f>IF(#REF!="Core","Core",IF(#REF!="Applied","Applied",IF(#REF!="Specialized","Specialized",IF(#REF!="Other_Subjects","Other_Subjects"))))</f>
        <v>#REF!</v>
      </c>
      <c r="C20" s="7" t="s">
        <v>141</v>
      </c>
      <c r="I20" s="185"/>
      <c r="J20" s="1" t="e">
        <f>#REF!</f>
        <v>#REF!</v>
      </c>
      <c r="K20" s="1" t="e">
        <f>#REF!</f>
        <v>#REF!</v>
      </c>
      <c r="L20" s="1" t="e">
        <f t="shared" si="0"/>
        <v>#REF!</v>
      </c>
      <c r="M20" s="1"/>
    </row>
    <row r="21" spans="1:13" hidden="1" x14ac:dyDescent="0.3">
      <c r="A21" s="184"/>
      <c r="B21" s="7" t="e">
        <f>IF(#REF!="Core","Core",IF(#REF!="Applied","Applied",IF(#REF!="Specialized","Specialized",IF(#REF!="Other_Subjects","Other_Subjects"))))</f>
        <v>#REF!</v>
      </c>
      <c r="C21" s="11" t="e">
        <f>IF(#REF!="","",#REF!)</f>
        <v>#REF!</v>
      </c>
      <c r="D21" s="1"/>
      <c r="E21" s="1"/>
      <c r="I21" s="185"/>
      <c r="J21" s="1" t="e">
        <f>#REF!</f>
        <v>#REF!</v>
      </c>
      <c r="K21" s="1" t="e">
        <f>#REF!</f>
        <v>#REF!</v>
      </c>
      <c r="L21" s="1" t="e">
        <f t="shared" si="0"/>
        <v>#REF!</v>
      </c>
      <c r="M21" s="1"/>
    </row>
    <row r="22" spans="1:13" hidden="1" x14ac:dyDescent="0.3">
      <c r="A22" s="184"/>
      <c r="B22" s="7" t="e">
        <f>IF(#REF!="Core","Core",IF(#REF!="Applied","Applied",IF(#REF!="Specialized","Specialized",IF(#REF!="Other_Subjects","Other_Subjects"))))</f>
        <v>#REF!</v>
      </c>
      <c r="C22" s="12" t="e">
        <f>IF(#REF!="","",#REF!)</f>
        <v>#REF!</v>
      </c>
      <c r="D22" s="1"/>
      <c r="E22" s="1"/>
      <c r="I22" s="185"/>
      <c r="J22" s="1" t="e">
        <f>#REF!</f>
        <v>#REF!</v>
      </c>
      <c r="K22" s="1" t="e">
        <f>#REF!</f>
        <v>#REF!</v>
      </c>
      <c r="L22" s="1" t="e">
        <f t="shared" si="0"/>
        <v>#REF!</v>
      </c>
      <c r="M22" s="1"/>
    </row>
    <row r="23" spans="1:13" hidden="1" x14ac:dyDescent="0.3">
      <c r="A23" s="184"/>
      <c r="B23" s="7" t="e">
        <f>IF(#REF!="Core","Core",IF(#REF!="Applied","Applied",IF(#REF!="Specialized","Specialized",IF(#REF!="Other_Subjects","Other_Subjects"))))</f>
        <v>#REF!</v>
      </c>
      <c r="C23" s="1"/>
      <c r="D23" s="1"/>
      <c r="E23" s="1"/>
      <c r="I23" s="185"/>
      <c r="J23" s="1" t="e">
        <f>#REF!</f>
        <v>#REF!</v>
      </c>
      <c r="K23" s="1" t="e">
        <f>#REF!</f>
        <v>#REF!</v>
      </c>
      <c r="L23" s="1" t="e">
        <f t="shared" si="0"/>
        <v>#REF!</v>
      </c>
      <c r="M23" s="1"/>
    </row>
    <row r="24" spans="1:13" hidden="1" x14ac:dyDescent="0.3">
      <c r="A24" s="184"/>
      <c r="B24" s="7" t="e">
        <f>IF(#REF!="Core","Core",IF(#REF!="Applied","Applied",IF(#REF!="Specialized","Specialized",IF(#REF!="Other_Subjects","Other_Subjects"))))</f>
        <v>#REF!</v>
      </c>
      <c r="C24" s="1"/>
      <c r="D24" s="1"/>
      <c r="E24" s="1"/>
      <c r="I24" s="185"/>
      <c r="J24" s="1" t="e">
        <f>#REF!</f>
        <v>#REF!</v>
      </c>
      <c r="K24" s="1" t="e">
        <f>#REF!</f>
        <v>#REF!</v>
      </c>
      <c r="L24" s="1" t="e">
        <f t="shared" si="0"/>
        <v>#REF!</v>
      </c>
      <c r="M24" s="1"/>
    </row>
    <row r="25" spans="1:13" hidden="1" x14ac:dyDescent="0.3">
      <c r="A25" s="184"/>
      <c r="B25" s="7" t="e">
        <f>IF(#REF!="Core","Core",IF(#REF!="Applied","Applied",IF(#REF!="Specialized","Specialized",IF(#REF!="Other_Subjects","Other_Subjects"))))</f>
        <v>#REF!</v>
      </c>
      <c r="C25" s="1"/>
      <c r="D25" s="1"/>
      <c r="E25" s="1"/>
      <c r="I25" s="185"/>
      <c r="J25" s="1" t="e">
        <f>#REF!</f>
        <v>#REF!</v>
      </c>
      <c r="K25" s="1" t="e">
        <f>#REF!</f>
        <v>#REF!</v>
      </c>
      <c r="L25" s="1" t="e">
        <f t="shared" si="0"/>
        <v>#REF!</v>
      </c>
      <c r="M25" s="1"/>
    </row>
    <row r="26" spans="1:13" hidden="1" x14ac:dyDescent="0.3">
      <c r="A26" s="184"/>
      <c r="B26" s="7" t="e">
        <f>IF(#REF!="Core","Core",IF(#REF!="Applied","Applied",IF(#REF!="Specialized","Specialized",IF(#REF!="Other_Subjects","Other_Subjects"))))</f>
        <v>#REF!</v>
      </c>
      <c r="C26" s="1"/>
      <c r="D26" s="1"/>
      <c r="E26" s="1"/>
      <c r="I26" s="185"/>
      <c r="J26" s="1" t="e">
        <f>#REF!</f>
        <v>#REF!</v>
      </c>
      <c r="K26" s="1" t="e">
        <f>#REF!</f>
        <v>#REF!</v>
      </c>
      <c r="L26" s="1" t="e">
        <f t="shared" si="0"/>
        <v>#REF!</v>
      </c>
      <c r="M26" s="1"/>
    </row>
    <row r="27" spans="1:13" hidden="1" x14ac:dyDescent="0.3">
      <c r="A27" s="184"/>
      <c r="B27" s="7" t="e">
        <f>IF(#REF!="Core","Core",IF(#REF!="Applied","Applied",IF(#REF!="Specialized","Specialized",IF(#REF!="Other_Subjects","Other_Subjects"))))</f>
        <v>#REF!</v>
      </c>
      <c r="C27" s="1"/>
      <c r="D27" s="1"/>
      <c r="E27" s="1"/>
      <c r="I27" s="184">
        <v>3</v>
      </c>
      <c r="J27" s="1" t="e">
        <f>#REF!</f>
        <v>#REF!</v>
      </c>
      <c r="K27" s="1" t="e">
        <f>#REF!</f>
        <v>#REF!</v>
      </c>
      <c r="L27" s="1" t="e">
        <f t="shared" si="0"/>
        <v>#REF!</v>
      </c>
      <c r="M27" s="1"/>
    </row>
    <row r="28" spans="1:13" hidden="1" x14ac:dyDescent="0.3">
      <c r="A28" s="184">
        <v>3</v>
      </c>
      <c r="B28" s="5" t="e">
        <f>IF(#REF!="Core","Core",IF(#REF!="Applied","Applied",IF(#REF!="Specialized","Specialized",IF(#REF!="Other_Subjects","Other_Subjects"))))</f>
        <v>#REF!</v>
      </c>
      <c r="C28" s="1"/>
      <c r="D28" s="1"/>
      <c r="E28" s="1"/>
      <c r="I28" s="184"/>
      <c r="J28" s="1" t="e">
        <f>#REF!</f>
        <v>#REF!</v>
      </c>
      <c r="K28" s="1" t="e">
        <f>#REF!</f>
        <v>#REF!</v>
      </c>
      <c r="L28" s="1" t="e">
        <f t="shared" si="0"/>
        <v>#REF!</v>
      </c>
      <c r="M28" s="1"/>
    </row>
    <row r="29" spans="1:13" hidden="1" x14ac:dyDescent="0.3">
      <c r="A29" s="184"/>
      <c r="B29" s="7" t="e">
        <f>IF(#REF!="Core","Core",IF(#REF!="Applied","Applied",IF(#REF!="Specialized","Specialized",IF(#REF!="Other_Subjects","Other_Subjects"))))</f>
        <v>#REF!</v>
      </c>
      <c r="C29" s="1"/>
      <c r="D29" s="1"/>
      <c r="E29" s="1"/>
      <c r="I29" s="184"/>
      <c r="J29" s="1" t="e">
        <f>#REF!</f>
        <v>#REF!</v>
      </c>
      <c r="K29" s="1" t="e">
        <f>#REF!</f>
        <v>#REF!</v>
      </c>
      <c r="L29" s="1" t="e">
        <f t="shared" si="0"/>
        <v>#REF!</v>
      </c>
      <c r="M29" s="1"/>
    </row>
    <row r="30" spans="1:13" hidden="1" x14ac:dyDescent="0.3">
      <c r="A30" s="184"/>
      <c r="B30" s="7" t="e">
        <f>IF(#REF!="Core","Core",IF(#REF!="Applied","Applied",IF(#REF!="Specialized","Specialized",IF(#REF!="Other_Subjects","Other_Subjects"))))</f>
        <v>#REF!</v>
      </c>
      <c r="C30" s="1"/>
      <c r="D30" s="1"/>
      <c r="E30" s="1"/>
      <c r="I30" s="184"/>
      <c r="J30" s="1" t="e">
        <f>#REF!</f>
        <v>#REF!</v>
      </c>
      <c r="K30" s="1" t="e">
        <f>#REF!</f>
        <v>#REF!</v>
      </c>
      <c r="L30" s="1" t="e">
        <f t="shared" si="0"/>
        <v>#REF!</v>
      </c>
      <c r="M30" s="1"/>
    </row>
    <row r="31" spans="1:13" hidden="1" x14ac:dyDescent="0.3">
      <c r="A31" s="184"/>
      <c r="B31" s="7" t="e">
        <f>IF(#REF!="Core","Core",IF(#REF!="Applied","Applied",IF(#REF!="Specialized","Specialized",IF(#REF!="Other_Subjects","Other_Subjects"))))</f>
        <v>#REF!</v>
      </c>
      <c r="C31" s="1"/>
      <c r="D31" s="1"/>
      <c r="E31" s="1"/>
      <c r="I31" s="184"/>
      <c r="J31" s="1" t="e">
        <f>#REF!</f>
        <v>#REF!</v>
      </c>
      <c r="K31" s="1" t="e">
        <f>#REF!</f>
        <v>#REF!</v>
      </c>
      <c r="L31" s="1" t="e">
        <f t="shared" si="0"/>
        <v>#REF!</v>
      </c>
      <c r="M31" s="1"/>
    </row>
    <row r="32" spans="1:13" hidden="1" x14ac:dyDescent="0.3">
      <c r="A32" s="184"/>
      <c r="B32" s="7" t="e">
        <f>IF(#REF!="Core","Core",IF(#REF!="Applied","Applied",IF(#REF!="Specialized","Specialized",IF(#REF!="Other_Subjects","Other_Subjects"))))</f>
        <v>#REF!</v>
      </c>
      <c r="C32" s="1"/>
      <c r="D32" s="1"/>
      <c r="E32" s="1"/>
      <c r="I32" s="184"/>
      <c r="J32" s="1" t="e">
        <f>#REF!</f>
        <v>#REF!</v>
      </c>
      <c r="K32" s="1" t="e">
        <f>#REF!</f>
        <v>#REF!</v>
      </c>
      <c r="L32" s="1" t="e">
        <f t="shared" si="0"/>
        <v>#REF!</v>
      </c>
      <c r="M32" s="1"/>
    </row>
    <row r="33" spans="1:13" hidden="1" x14ac:dyDescent="0.3">
      <c r="A33" s="184"/>
      <c r="B33" s="7" t="e">
        <f>IF(#REF!="Core","Core",IF(#REF!="Applied","Applied",IF(#REF!="Specialized","Specialized",IF(#REF!="Other_Subjects","Other_Subjects"))))</f>
        <v>#REF!</v>
      </c>
      <c r="C33" s="1"/>
      <c r="D33" s="1"/>
      <c r="E33" s="1"/>
      <c r="I33" s="184"/>
      <c r="J33" s="1" t="e">
        <f>#REF!</f>
        <v>#REF!</v>
      </c>
      <c r="K33" s="1" t="e">
        <f>#REF!</f>
        <v>#REF!</v>
      </c>
      <c r="L33" s="1" t="e">
        <f t="shared" si="0"/>
        <v>#REF!</v>
      </c>
      <c r="M33" s="1"/>
    </row>
    <row r="34" spans="1:13" hidden="1" x14ac:dyDescent="0.3">
      <c r="A34" s="184"/>
      <c r="B34" s="7" t="e">
        <f>IF(#REF!="Core","Core",IF(#REF!="Applied","Applied",IF(#REF!="Specialized","Specialized",IF(#REF!="Other_Subjects","Other_Subjects"))))</f>
        <v>#REF!</v>
      </c>
      <c r="C34" s="1"/>
      <c r="D34" s="1"/>
      <c r="E34" s="1"/>
      <c r="I34" s="184"/>
      <c r="J34" s="1" t="e">
        <f>#REF!</f>
        <v>#REF!</v>
      </c>
      <c r="K34" s="1" t="e">
        <f>#REF!</f>
        <v>#REF!</v>
      </c>
      <c r="L34" s="1" t="e">
        <f t="shared" si="0"/>
        <v>#REF!</v>
      </c>
      <c r="M34" s="1"/>
    </row>
    <row r="35" spans="1:13" hidden="1" x14ac:dyDescent="0.3">
      <c r="A35" s="184"/>
      <c r="B35" s="7" t="e">
        <f>IF(#REF!="Core","Core",IF(#REF!="Applied","Applied",IF(#REF!="Specialized","Specialized",IF(#REF!="Other_Subjects","Other_Subjects"))))</f>
        <v>#REF!</v>
      </c>
      <c r="C35" s="1"/>
      <c r="D35" s="1"/>
      <c r="E35" s="1"/>
      <c r="I35" s="184"/>
      <c r="J35" s="1" t="e">
        <f>#REF!</f>
        <v>#REF!</v>
      </c>
      <c r="K35" s="1" t="e">
        <f>#REF!</f>
        <v>#REF!</v>
      </c>
      <c r="L35" s="1" t="e">
        <f t="shared" si="0"/>
        <v>#REF!</v>
      </c>
      <c r="M35" s="1"/>
    </row>
    <row r="36" spans="1:13" hidden="1" x14ac:dyDescent="0.3">
      <c r="A36" s="184"/>
      <c r="B36" s="7" t="e">
        <f>IF(#REF!="Core","Core",IF(#REF!="Applied","Applied",IF(#REF!="Specialized","Specialized",IF(#REF!="Other_Subjects","Other_Subjects"))))</f>
        <v>#REF!</v>
      </c>
      <c r="C36" s="1"/>
      <c r="D36" s="1"/>
      <c r="E36" s="1"/>
      <c r="I36" s="184"/>
      <c r="J36" s="1" t="e">
        <f>#REF!</f>
        <v>#REF!</v>
      </c>
      <c r="K36" s="1" t="e">
        <f>#REF!</f>
        <v>#REF!</v>
      </c>
      <c r="L36" s="1" t="e">
        <f t="shared" si="0"/>
        <v>#REF!</v>
      </c>
      <c r="M36" s="1"/>
    </row>
    <row r="37" spans="1:13" hidden="1" x14ac:dyDescent="0.3">
      <c r="A37" s="184"/>
      <c r="B37" s="7" t="e">
        <f>IF(#REF!="Core","Core",IF(#REF!="Applied","Applied",IF(#REF!="Specialized","Specialized",IF(#REF!="Other_Subjects","Other_Subjects"))))</f>
        <v>#REF!</v>
      </c>
      <c r="C37" s="1"/>
      <c r="D37" s="1"/>
      <c r="E37" s="1"/>
      <c r="I37" s="184"/>
      <c r="J37" s="1" t="e">
        <f>#REF!</f>
        <v>#REF!</v>
      </c>
      <c r="K37" s="1" t="e">
        <f>#REF!</f>
        <v>#REF!</v>
      </c>
      <c r="L37" s="1" t="e">
        <f t="shared" si="0"/>
        <v>#REF!</v>
      </c>
      <c r="M37" s="1"/>
    </row>
    <row r="38" spans="1:13" hidden="1" x14ac:dyDescent="0.3">
      <c r="A38" s="184"/>
      <c r="B38" s="7" t="e">
        <f>IF(#REF!="Core","Core",IF(#REF!="Applied","Applied",IF(#REF!="Specialized","Specialized",IF(#REF!="Other_Subjects","Other_Subjects"))))</f>
        <v>#REF!</v>
      </c>
      <c r="C38" s="1"/>
      <c r="D38" s="1"/>
      <c r="E38" s="1"/>
      <c r="I38" s="184"/>
      <c r="J38" s="1" t="e">
        <f>#REF!</f>
        <v>#REF!</v>
      </c>
      <c r="K38" s="1" t="e">
        <f>#REF!</f>
        <v>#REF!</v>
      </c>
      <c r="L38" s="1" t="e">
        <f t="shared" si="0"/>
        <v>#REF!</v>
      </c>
      <c r="M38" s="1"/>
    </row>
    <row r="39" spans="1:13" hidden="1" x14ac:dyDescent="0.3">
      <c r="A39" s="184"/>
      <c r="B39" s="7" t="e">
        <f>IF(#REF!="Core","Core",IF(#REF!="Applied","Applied",IF(#REF!="Specialized","Specialized",IF(#REF!="Other_Subjects","Other_Subjects"))))</f>
        <v>#REF!</v>
      </c>
      <c r="C39" s="1"/>
      <c r="D39" s="1"/>
      <c r="E39" s="1"/>
      <c r="I39" s="185">
        <v>4</v>
      </c>
      <c r="J39" s="1" t="e">
        <f>#REF!</f>
        <v>#REF!</v>
      </c>
      <c r="K39" s="1" t="e">
        <f>#REF!</f>
        <v>#REF!</v>
      </c>
      <c r="L39" s="1" t="e">
        <f t="shared" ref="L39:L70" si="1">IF(K39="PASSED","∕","")</f>
        <v>#REF!</v>
      </c>
      <c r="M39" s="1"/>
    </row>
    <row r="40" spans="1:13" hidden="1" x14ac:dyDescent="0.3">
      <c r="A40" s="184">
        <v>4</v>
      </c>
      <c r="B40" s="5" t="e">
        <f>IF(#REF!="Core","Core",IF(#REF!="Applied","Applied",IF(#REF!="Specialized","Specialized",IF(#REF!="Other_Subjects","Other_Subjects"))))</f>
        <v>#REF!</v>
      </c>
      <c r="C40" s="1"/>
      <c r="D40" s="1"/>
      <c r="E40" s="1"/>
      <c r="I40" s="185"/>
      <c r="J40" s="1" t="e">
        <f>#REF!</f>
        <v>#REF!</v>
      </c>
      <c r="K40" s="1" t="e">
        <f>#REF!</f>
        <v>#REF!</v>
      </c>
      <c r="L40" s="1" t="e">
        <f t="shared" si="1"/>
        <v>#REF!</v>
      </c>
      <c r="M40" s="1"/>
    </row>
    <row r="41" spans="1:13" hidden="1" x14ac:dyDescent="0.3">
      <c r="A41" s="184"/>
      <c r="B41" s="7" t="e">
        <f>IF(#REF!="Core","Core",IF(#REF!="Applied","Applied",IF(#REF!="Specialized","Specialized",IF(#REF!="Other_Subjects","Other_Subjects"))))</f>
        <v>#REF!</v>
      </c>
      <c r="C41" s="1"/>
      <c r="D41" s="1"/>
      <c r="E41" s="1"/>
      <c r="I41" s="185"/>
      <c r="J41" s="1" t="e">
        <f>#REF!</f>
        <v>#REF!</v>
      </c>
      <c r="K41" s="1" t="e">
        <f>#REF!</f>
        <v>#REF!</v>
      </c>
      <c r="L41" s="1" t="e">
        <f t="shared" si="1"/>
        <v>#REF!</v>
      </c>
      <c r="M41" s="1"/>
    </row>
    <row r="42" spans="1:13" hidden="1" x14ac:dyDescent="0.3">
      <c r="A42" s="184"/>
      <c r="B42" s="7" t="e">
        <f>IF(#REF!="Core","Core",IF(#REF!="Applied","Applied",IF(#REF!="Specialized","Specialized",IF(#REF!="Other_Subjects","Other_Subjects"))))</f>
        <v>#REF!</v>
      </c>
      <c r="C42" s="1"/>
      <c r="D42" s="1"/>
      <c r="E42" s="1"/>
      <c r="I42" s="185"/>
      <c r="J42" s="1" t="e">
        <f>#REF!</f>
        <v>#REF!</v>
      </c>
      <c r="K42" s="1" t="e">
        <f>#REF!</f>
        <v>#REF!</v>
      </c>
      <c r="L42" s="1" t="e">
        <f t="shared" si="1"/>
        <v>#REF!</v>
      </c>
      <c r="M42" s="1"/>
    </row>
    <row r="43" spans="1:13" hidden="1" x14ac:dyDescent="0.3">
      <c r="A43" s="184"/>
      <c r="B43" s="7" t="e">
        <f>IF(#REF!="Core","Core",IF(#REF!="Applied","Applied",IF(#REF!="Specialized","Specialized",IF(#REF!="Other_Subjects","Other_Subjects"))))</f>
        <v>#REF!</v>
      </c>
      <c r="C43" s="1"/>
      <c r="D43" s="1"/>
      <c r="E43" s="1"/>
      <c r="I43" s="185"/>
      <c r="J43" s="1" t="e">
        <f>#REF!</f>
        <v>#REF!</v>
      </c>
      <c r="K43" s="1" t="e">
        <f>#REF!</f>
        <v>#REF!</v>
      </c>
      <c r="L43" s="1" t="e">
        <f t="shared" si="1"/>
        <v>#REF!</v>
      </c>
      <c r="M43" s="1"/>
    </row>
    <row r="44" spans="1:13" hidden="1" x14ac:dyDescent="0.3">
      <c r="A44" s="184"/>
      <c r="B44" s="7" t="e">
        <f>IF(#REF!="Core","Core",IF(#REF!="Applied","Applied",IF(#REF!="Specialized","Specialized",IF(#REF!="Other_Subjects","Other_Subjects"))))</f>
        <v>#REF!</v>
      </c>
      <c r="C44" s="1"/>
      <c r="D44" s="1"/>
      <c r="E44" s="1"/>
      <c r="I44" s="185"/>
      <c r="J44" s="1" t="e">
        <f>#REF!</f>
        <v>#REF!</v>
      </c>
      <c r="K44" s="1" t="e">
        <f>#REF!</f>
        <v>#REF!</v>
      </c>
      <c r="L44" s="1" t="e">
        <f t="shared" si="1"/>
        <v>#REF!</v>
      </c>
      <c r="M44" s="1"/>
    </row>
    <row r="45" spans="1:13" hidden="1" x14ac:dyDescent="0.3">
      <c r="A45" s="184"/>
      <c r="B45" s="7" t="e">
        <f>IF(#REF!="Core","Core",IF(#REF!="Applied","Applied",IF(#REF!="Specialized","Specialized",IF(#REF!="Other_Subjects","Other_Subjects"))))</f>
        <v>#REF!</v>
      </c>
      <c r="C45" s="1"/>
      <c r="D45" s="1"/>
      <c r="E45" s="1"/>
      <c r="I45" s="185"/>
      <c r="J45" s="1" t="e">
        <f>#REF!</f>
        <v>#REF!</v>
      </c>
      <c r="K45" s="1" t="e">
        <f>#REF!</f>
        <v>#REF!</v>
      </c>
      <c r="L45" s="1" t="e">
        <f t="shared" si="1"/>
        <v>#REF!</v>
      </c>
      <c r="M45" s="1"/>
    </row>
    <row r="46" spans="1:13" hidden="1" x14ac:dyDescent="0.3">
      <c r="A46" s="184"/>
      <c r="B46" s="7" t="e">
        <f>IF(#REF!="Core","Core",IF(#REF!="Applied","Applied",IF(#REF!="Specialized","Specialized",IF(#REF!="Other_Subjects","Other_Subjects"))))</f>
        <v>#REF!</v>
      </c>
      <c r="C46" s="1"/>
      <c r="D46" s="1"/>
      <c r="E46" s="1"/>
      <c r="I46" s="185"/>
      <c r="J46" s="1" t="e">
        <f>#REF!</f>
        <v>#REF!</v>
      </c>
      <c r="K46" s="1" t="e">
        <f>#REF!</f>
        <v>#REF!</v>
      </c>
      <c r="L46" s="1" t="e">
        <f t="shared" si="1"/>
        <v>#REF!</v>
      </c>
      <c r="M46" s="1"/>
    </row>
    <row r="47" spans="1:13" hidden="1" x14ac:dyDescent="0.3">
      <c r="A47" s="184"/>
      <c r="B47" s="7" t="e">
        <f>IF(#REF!="Core","Core",IF(#REF!="Applied","Applied",IF(#REF!="Specialized","Specialized",IF(#REF!="Other_Subjects","Other_Subjects"))))</f>
        <v>#REF!</v>
      </c>
      <c r="C47" s="1"/>
      <c r="D47" s="1"/>
      <c r="E47" s="1"/>
      <c r="I47" s="184">
        <v>5</v>
      </c>
      <c r="J47" s="1" t="e">
        <f>#REF!</f>
        <v>#REF!</v>
      </c>
      <c r="K47" s="1" t="e">
        <f>#REF!</f>
        <v>#REF!</v>
      </c>
      <c r="L47" s="1" t="e">
        <f t="shared" si="1"/>
        <v>#REF!</v>
      </c>
      <c r="M47" s="1"/>
    </row>
    <row r="48" spans="1:13" hidden="1" x14ac:dyDescent="0.3">
      <c r="A48" s="184"/>
      <c r="B48" s="7" t="e">
        <f>IF(#REF!="Core","Core",IF(#REF!="Applied","Applied",IF(#REF!="Specialized","Specialized",IF(#REF!="Other_Subjects","Other_Subjects"))))</f>
        <v>#REF!</v>
      </c>
      <c r="C48" s="1"/>
      <c r="D48" s="1"/>
      <c r="E48" s="1"/>
      <c r="I48" s="184"/>
      <c r="J48" s="1" t="e">
        <f>#REF!</f>
        <v>#REF!</v>
      </c>
      <c r="K48" s="1" t="e">
        <f>#REF!</f>
        <v>#REF!</v>
      </c>
      <c r="L48" s="1" t="e">
        <f t="shared" si="1"/>
        <v>#REF!</v>
      </c>
      <c r="M48" s="1"/>
    </row>
    <row r="49" spans="1:13" hidden="1" x14ac:dyDescent="0.3">
      <c r="A49" s="184"/>
      <c r="B49" s="7" t="e">
        <f>IF(#REF!="Core","Core",IF(#REF!="Applied","Applied",IF(#REF!="Specialized","Specialized",IF(#REF!="Other_Subjects","Other_Subjects"))))</f>
        <v>#REF!</v>
      </c>
      <c r="C49" s="1"/>
      <c r="D49" s="1"/>
      <c r="E49" s="1"/>
      <c r="I49" s="184"/>
      <c r="J49" s="1" t="e">
        <f>#REF!</f>
        <v>#REF!</v>
      </c>
      <c r="K49" s="1" t="e">
        <f>#REF!</f>
        <v>#REF!</v>
      </c>
      <c r="L49" s="1" t="e">
        <f t="shared" si="1"/>
        <v>#REF!</v>
      </c>
      <c r="M49" s="1"/>
    </row>
    <row r="50" spans="1:13" hidden="1" x14ac:dyDescent="0.3">
      <c r="A50" s="184"/>
      <c r="B50" s="7" t="e">
        <f>IF(#REF!="Core","Core",IF(#REF!="Applied","Applied",IF(#REF!="Specialized","Specialized",IF(#REF!="Other_Subjects","Other_Subjects"))))</f>
        <v>#REF!</v>
      </c>
      <c r="C50" s="1"/>
      <c r="D50" s="1"/>
      <c r="E50" s="1"/>
      <c r="I50" s="184"/>
      <c r="J50" s="1" t="e">
        <f>#REF!</f>
        <v>#REF!</v>
      </c>
      <c r="K50" s="1" t="e">
        <f>#REF!</f>
        <v>#REF!</v>
      </c>
      <c r="L50" s="1" t="e">
        <f t="shared" si="1"/>
        <v>#REF!</v>
      </c>
      <c r="M50" s="1"/>
    </row>
    <row r="51" spans="1:13" hidden="1" x14ac:dyDescent="0.3">
      <c r="A51" s="184"/>
      <c r="B51" s="9" t="e">
        <f>IF(#REF!="Core","Core",IF(#REF!="Applied","Applied",IF(#REF!="Specialized","Specialized",IF(#REF!="Other_Subjects","Other_Subjects"))))</f>
        <v>#REF!</v>
      </c>
      <c r="C51" s="1"/>
      <c r="D51" s="1"/>
      <c r="E51" s="1"/>
      <c r="I51" s="184"/>
      <c r="J51" s="1" t="e">
        <f>#REF!</f>
        <v>#REF!</v>
      </c>
      <c r="K51" s="1" t="e">
        <f>#REF!</f>
        <v>#REF!</v>
      </c>
      <c r="L51" s="1" t="e">
        <f t="shared" si="1"/>
        <v>#REF!</v>
      </c>
      <c r="M51" s="1"/>
    </row>
    <row r="52" spans="1:13" hidden="1" x14ac:dyDescent="0.3">
      <c r="A52" s="184">
        <v>5</v>
      </c>
      <c r="B52" s="7" t="e">
        <f>IF(#REF!="Core","Core",IF(#REF!="Applied","Applied",IF(#REF!="Specialized","Specialized",IF(#REF!="Other_Subjects","Other_Subjects"))))</f>
        <v>#REF!</v>
      </c>
      <c r="C52" s="1"/>
      <c r="D52" s="1"/>
      <c r="E52" s="1"/>
      <c r="I52" s="184"/>
      <c r="J52" s="1" t="e">
        <f>#REF!</f>
        <v>#REF!</v>
      </c>
      <c r="K52" s="1" t="e">
        <f>#REF!</f>
        <v>#REF!</v>
      </c>
      <c r="L52" s="1" t="e">
        <f t="shared" si="1"/>
        <v>#REF!</v>
      </c>
      <c r="M52" s="1"/>
    </row>
    <row r="53" spans="1:13" hidden="1" x14ac:dyDescent="0.3">
      <c r="A53" s="184"/>
      <c r="B53" s="7" t="e">
        <f>IF(#REF!="Core","Core",IF(#REF!="Applied","Applied",IF(#REF!="Specialized","Specialized",IF(#REF!="Other_Subjects","Other_Subjects"))))</f>
        <v>#REF!</v>
      </c>
      <c r="C53" s="1"/>
      <c r="D53" s="1"/>
      <c r="E53" s="1"/>
      <c r="I53" s="184"/>
      <c r="J53" s="1" t="e">
        <f>#REF!</f>
        <v>#REF!</v>
      </c>
      <c r="K53" s="1" t="e">
        <f>#REF!</f>
        <v>#REF!</v>
      </c>
      <c r="L53" s="1" t="e">
        <f t="shared" si="1"/>
        <v>#REF!</v>
      </c>
      <c r="M53" s="1"/>
    </row>
    <row r="54" spans="1:13" hidden="1" x14ac:dyDescent="0.3">
      <c r="A54" s="184"/>
      <c r="B54" s="7" t="e">
        <f>IF(#REF!="Core","Core",IF(#REF!="Applied","Applied",IF(#REF!="Specialized","Specialized",IF(#REF!="Other_Subjects","Other_Subjects"))))</f>
        <v>#REF!</v>
      </c>
      <c r="C54" s="1"/>
      <c r="D54" s="1"/>
      <c r="E54" s="1"/>
      <c r="I54" s="184"/>
      <c r="J54" s="1" t="e">
        <f>#REF!</f>
        <v>#REF!</v>
      </c>
      <c r="K54" s="1" t="e">
        <f>#REF!</f>
        <v>#REF!</v>
      </c>
      <c r="L54" s="1" t="e">
        <f t="shared" si="1"/>
        <v>#REF!</v>
      </c>
      <c r="M54" s="1"/>
    </row>
    <row r="55" spans="1:13" hidden="1" x14ac:dyDescent="0.3">
      <c r="A55" s="184"/>
      <c r="B55" s="7" t="e">
        <f>IF(#REF!="Core","Core",IF(#REF!="Applied","Applied",IF(#REF!="Specialized","Specialized",IF(#REF!="Other_Subjects","Other_Subjects"))))</f>
        <v>#REF!</v>
      </c>
      <c r="C55" s="1"/>
      <c r="D55" s="1"/>
      <c r="E55" s="1"/>
      <c r="I55" s="184"/>
      <c r="J55" s="1" t="e">
        <f>#REF!</f>
        <v>#REF!</v>
      </c>
      <c r="K55" s="1" t="e">
        <f>#REF!</f>
        <v>#REF!</v>
      </c>
      <c r="L55" s="1" t="e">
        <f t="shared" si="1"/>
        <v>#REF!</v>
      </c>
      <c r="M55" s="1"/>
    </row>
    <row r="56" spans="1:13" hidden="1" x14ac:dyDescent="0.3">
      <c r="A56" s="184"/>
      <c r="B56" s="7" t="e">
        <f>IF(#REF!="Core","Core",IF(#REF!="Applied","Applied",IF(#REF!="Specialized","Specialized",IF(#REF!="Other_Subjects","Other_Subjects"))))</f>
        <v>#REF!</v>
      </c>
      <c r="C56" s="1"/>
      <c r="D56" s="1"/>
      <c r="E56" s="1"/>
      <c r="I56" s="184"/>
      <c r="J56" s="1" t="e">
        <f>#REF!</f>
        <v>#REF!</v>
      </c>
      <c r="K56" s="1" t="e">
        <f>#REF!</f>
        <v>#REF!</v>
      </c>
      <c r="L56" s="1" t="e">
        <f t="shared" si="1"/>
        <v>#REF!</v>
      </c>
      <c r="M56" s="1"/>
    </row>
    <row r="57" spans="1:13" hidden="1" x14ac:dyDescent="0.3">
      <c r="A57" s="184"/>
      <c r="B57" s="7" t="e">
        <f>IF(#REF!="Core","Core",IF(#REF!="Applied","Applied",IF(#REF!="Specialized","Specialized",IF(#REF!="Other_Subjects","Other_Subjects"))))</f>
        <v>#REF!</v>
      </c>
      <c r="C57" s="1"/>
      <c r="D57" s="1"/>
      <c r="E57" s="1"/>
      <c r="I57" s="184"/>
      <c r="J57" s="1" t="e">
        <f>#REF!</f>
        <v>#REF!</v>
      </c>
      <c r="K57" s="1" t="e">
        <f>#REF!</f>
        <v>#REF!</v>
      </c>
      <c r="L57" s="1" t="e">
        <f t="shared" si="1"/>
        <v>#REF!</v>
      </c>
      <c r="M57" s="1"/>
    </row>
    <row r="58" spans="1:13" hidden="1" x14ac:dyDescent="0.3">
      <c r="A58" s="184"/>
      <c r="B58" s="7" t="e">
        <f>IF(#REF!="Core","Core",IF(#REF!="Applied","Applied",IF(#REF!="Specialized","Specialized",IF(#REF!="Other_Subjects","Other_Subjects"))))</f>
        <v>#REF!</v>
      </c>
      <c r="C58" s="1"/>
      <c r="D58" s="1"/>
      <c r="E58" s="1"/>
      <c r="I58" s="184"/>
      <c r="J58" s="1" t="e">
        <f>#REF!</f>
        <v>#REF!</v>
      </c>
      <c r="K58" s="1" t="e">
        <f>#REF!</f>
        <v>#REF!</v>
      </c>
      <c r="L58" s="1" t="e">
        <f t="shared" si="1"/>
        <v>#REF!</v>
      </c>
      <c r="M58" s="1"/>
    </row>
    <row r="59" spans="1:13" hidden="1" x14ac:dyDescent="0.3">
      <c r="A59" s="184"/>
      <c r="B59" s="7" t="e">
        <f>IF(#REF!="Core","Core",IF(#REF!="Applied","Applied",IF(#REF!="Specialized","Specialized",IF(#REF!="Other_Subjects","Other_Subjects"))))</f>
        <v>#REF!</v>
      </c>
      <c r="C59" s="1"/>
      <c r="D59" s="1"/>
      <c r="E59" s="1"/>
      <c r="I59" s="185">
        <v>6</v>
      </c>
      <c r="J59" s="1" t="e">
        <f>#REF!</f>
        <v>#REF!</v>
      </c>
      <c r="K59" s="1" t="e">
        <f>#REF!</f>
        <v>#REF!</v>
      </c>
      <c r="L59" s="1" t="e">
        <f t="shared" si="1"/>
        <v>#REF!</v>
      </c>
      <c r="M59" s="1"/>
    </row>
    <row r="60" spans="1:13" hidden="1" x14ac:dyDescent="0.3">
      <c r="A60" s="184"/>
      <c r="B60" s="7" t="e">
        <f>IF(#REF!="Core","Core",IF(#REF!="Applied","Applied",IF(#REF!="Specialized","Specialized",IF(#REF!="Other_Subjects","Other_Subjects"))))</f>
        <v>#REF!</v>
      </c>
      <c r="C60" s="1"/>
      <c r="D60" s="1"/>
      <c r="E60" s="1"/>
      <c r="I60" s="185"/>
      <c r="J60" s="1" t="e">
        <f>#REF!</f>
        <v>#REF!</v>
      </c>
      <c r="K60" s="1" t="e">
        <f>#REF!</f>
        <v>#REF!</v>
      </c>
      <c r="L60" s="1" t="e">
        <f t="shared" si="1"/>
        <v>#REF!</v>
      </c>
      <c r="M60" s="1"/>
    </row>
    <row r="61" spans="1:13" hidden="1" x14ac:dyDescent="0.3">
      <c r="A61" s="184"/>
      <c r="B61" s="7" t="e">
        <f>IF(#REF!="Core","Core",IF(#REF!="Applied","Applied",IF(#REF!="Specialized","Specialized",IF(#REF!="Other_Subjects","Other_Subjects"))))</f>
        <v>#REF!</v>
      </c>
      <c r="C61" s="1"/>
      <c r="D61" s="1"/>
      <c r="E61" s="1"/>
      <c r="I61" s="185"/>
      <c r="J61" s="1" t="e">
        <f>#REF!</f>
        <v>#REF!</v>
      </c>
      <c r="K61" s="1" t="e">
        <f>#REF!</f>
        <v>#REF!</v>
      </c>
      <c r="L61" s="1" t="e">
        <f t="shared" si="1"/>
        <v>#REF!</v>
      </c>
      <c r="M61" s="1"/>
    </row>
    <row r="62" spans="1:13" hidden="1" x14ac:dyDescent="0.3">
      <c r="A62" s="184"/>
      <c r="B62" s="7" t="e">
        <f>IF(#REF!="Core","Core",IF(#REF!="Applied","Applied",IF(#REF!="Specialized","Specialized",IF(#REF!="Other_Subjects","Other_Subjects"))))</f>
        <v>#REF!</v>
      </c>
      <c r="C62" s="1"/>
      <c r="D62" s="1"/>
      <c r="E62" s="1"/>
      <c r="I62" s="185"/>
      <c r="J62" s="1" t="e">
        <f>#REF!</f>
        <v>#REF!</v>
      </c>
      <c r="K62" s="1" t="e">
        <f>#REF!</f>
        <v>#REF!</v>
      </c>
      <c r="L62" s="1" t="e">
        <f t="shared" si="1"/>
        <v>#REF!</v>
      </c>
      <c r="M62" s="1"/>
    </row>
    <row r="63" spans="1:13" hidden="1" x14ac:dyDescent="0.3">
      <c r="A63" s="184"/>
      <c r="B63" s="7" t="e">
        <f>IF(#REF!="Core","Core",IF(#REF!="Applied","Applied",IF(#REF!="Specialized","Specialized",IF(#REF!="Other_Subjects","Other_Subjects"))))</f>
        <v>#REF!</v>
      </c>
      <c r="C63" s="1"/>
      <c r="D63" s="1"/>
      <c r="E63" s="1"/>
      <c r="I63" s="185"/>
      <c r="J63" s="1" t="e">
        <f>#REF!</f>
        <v>#REF!</v>
      </c>
      <c r="K63" s="1" t="e">
        <f>#REF!</f>
        <v>#REF!</v>
      </c>
      <c r="L63" s="1" t="e">
        <f t="shared" si="1"/>
        <v>#REF!</v>
      </c>
      <c r="M63" s="1"/>
    </row>
    <row r="64" spans="1:13" hidden="1" x14ac:dyDescent="0.3">
      <c r="A64" s="184">
        <v>6</v>
      </c>
      <c r="B64" s="5" t="e">
        <f>IF(#REF!="Core","Core",IF(#REF!="Applied","Applied",IF(#REF!="Specialized","Specialized",IF(#REF!="Other_Subjects","Other_Subjects"))))</f>
        <v>#REF!</v>
      </c>
      <c r="C64" s="1"/>
      <c r="D64" s="1"/>
      <c r="E64" s="1"/>
      <c r="I64" s="185"/>
      <c r="J64" s="1" t="e">
        <f>#REF!</f>
        <v>#REF!</v>
      </c>
      <c r="K64" s="1" t="e">
        <f>#REF!</f>
        <v>#REF!</v>
      </c>
      <c r="L64" s="1" t="e">
        <f t="shared" si="1"/>
        <v>#REF!</v>
      </c>
      <c r="M64" s="1"/>
    </row>
    <row r="65" spans="1:13" hidden="1" x14ac:dyDescent="0.3">
      <c r="A65" s="184"/>
      <c r="B65" s="7" t="e">
        <f>IF(#REF!="Core","Core",IF(#REF!="Applied","Applied",IF(#REF!="Specialized","Specialized",IF(#REF!="Other_Subjects","Other_Subjects"))))</f>
        <v>#REF!</v>
      </c>
      <c r="C65" s="1"/>
      <c r="D65" s="1"/>
      <c r="E65" s="1"/>
      <c r="I65" s="185"/>
      <c r="J65" s="1" t="e">
        <f>#REF!</f>
        <v>#REF!</v>
      </c>
      <c r="K65" s="1" t="e">
        <f>#REF!</f>
        <v>#REF!</v>
      </c>
      <c r="L65" s="1" t="e">
        <f t="shared" si="1"/>
        <v>#REF!</v>
      </c>
      <c r="M65" s="1"/>
    </row>
    <row r="66" spans="1:13" hidden="1" x14ac:dyDescent="0.3">
      <c r="A66" s="184"/>
      <c r="B66" s="7" t="e">
        <f>IF(#REF!="Core","Core",IF(#REF!="Applied","Applied",IF(#REF!="Specialized","Specialized",IF(#REF!="Other_Subjects","Other_Subjects"))))</f>
        <v>#REF!</v>
      </c>
      <c r="C66" s="1"/>
      <c r="D66" s="1"/>
      <c r="E66" s="1"/>
      <c r="I66" s="185"/>
      <c r="J66" s="1" t="e">
        <f>#REF!</f>
        <v>#REF!</v>
      </c>
      <c r="K66" s="1" t="e">
        <f>#REF!</f>
        <v>#REF!</v>
      </c>
      <c r="L66" s="1" t="e">
        <f t="shared" si="1"/>
        <v>#REF!</v>
      </c>
      <c r="M66" s="1"/>
    </row>
    <row r="67" spans="1:13" hidden="1" x14ac:dyDescent="0.3">
      <c r="A67" s="184"/>
      <c r="B67" s="7" t="e">
        <f>IF(#REF!="Core","Core",IF(#REF!="Applied","Applied",IF(#REF!="Specialized","Specialized",IF(#REF!="Other_Subjects","Other_Subjects"))))</f>
        <v>#REF!</v>
      </c>
      <c r="C67" s="1"/>
      <c r="D67" s="1"/>
      <c r="E67" s="1"/>
      <c r="I67" s="184">
        <v>7</v>
      </c>
      <c r="J67" s="1" t="e">
        <f>#REF!</f>
        <v>#REF!</v>
      </c>
      <c r="K67" s="1" t="e">
        <f>#REF!</f>
        <v>#REF!</v>
      </c>
      <c r="L67" s="1" t="e">
        <f t="shared" si="1"/>
        <v>#REF!</v>
      </c>
      <c r="M67" s="1"/>
    </row>
    <row r="68" spans="1:13" hidden="1" x14ac:dyDescent="0.3">
      <c r="A68" s="184"/>
      <c r="B68" s="7" t="e">
        <f>IF(#REF!="Core","Core",IF(#REF!="Applied","Applied",IF(#REF!="Specialized","Specialized",IF(#REF!="Other_Subjects","Other_Subjects"))))</f>
        <v>#REF!</v>
      </c>
      <c r="C68" s="1"/>
      <c r="D68" s="1"/>
      <c r="E68" s="1"/>
      <c r="I68" s="184"/>
      <c r="J68" s="1" t="e">
        <f>#REF!</f>
        <v>#REF!</v>
      </c>
      <c r="K68" s="1" t="e">
        <f>#REF!</f>
        <v>#REF!</v>
      </c>
      <c r="L68" s="1" t="e">
        <f t="shared" si="1"/>
        <v>#REF!</v>
      </c>
      <c r="M68" s="1"/>
    </row>
    <row r="69" spans="1:13" hidden="1" x14ac:dyDescent="0.3">
      <c r="A69" s="184"/>
      <c r="B69" s="7" t="e">
        <f>IF(#REF!="Core","Core",IF(#REF!="Applied","Applied",IF(#REF!="Specialized","Specialized",IF(#REF!="Other_Subjects","Other_Subjects"))))</f>
        <v>#REF!</v>
      </c>
      <c r="C69" s="1"/>
      <c r="D69" s="1"/>
      <c r="E69" s="1"/>
      <c r="I69" s="184"/>
      <c r="J69" s="1" t="e">
        <f>#REF!</f>
        <v>#REF!</v>
      </c>
      <c r="K69" s="1" t="e">
        <f>#REF!</f>
        <v>#REF!</v>
      </c>
      <c r="L69" s="1" t="e">
        <f t="shared" si="1"/>
        <v>#REF!</v>
      </c>
      <c r="M69" s="1"/>
    </row>
    <row r="70" spans="1:13" hidden="1" x14ac:dyDescent="0.3">
      <c r="A70" s="184"/>
      <c r="B70" s="7" t="e">
        <f>IF(#REF!="Core","Core",IF(#REF!="Applied","Applied",IF(#REF!="Specialized","Specialized",IF(#REF!="Other_Subjects","Other_Subjects"))))</f>
        <v>#REF!</v>
      </c>
      <c r="C70" s="1"/>
      <c r="D70" s="1"/>
      <c r="E70" s="1"/>
      <c r="I70" s="184"/>
      <c r="J70" s="1" t="e">
        <f>#REF!</f>
        <v>#REF!</v>
      </c>
      <c r="K70" s="1" t="e">
        <f>#REF!</f>
        <v>#REF!</v>
      </c>
      <c r="L70" s="1" t="e">
        <f t="shared" si="1"/>
        <v>#REF!</v>
      </c>
      <c r="M70" s="1"/>
    </row>
    <row r="71" spans="1:13" hidden="1" x14ac:dyDescent="0.3">
      <c r="A71" s="184"/>
      <c r="B71" s="7" t="e">
        <f>IF(#REF!="Core","Core",IF(#REF!="Applied","Applied",IF(#REF!="Specialized","Specialized",IF(#REF!="Other_Subjects","Other_Subjects"))))</f>
        <v>#REF!</v>
      </c>
      <c r="C71" s="1"/>
      <c r="D71" s="1"/>
      <c r="E71" s="1"/>
      <c r="I71" s="184"/>
      <c r="J71" s="1" t="e">
        <f>#REF!</f>
        <v>#REF!</v>
      </c>
      <c r="K71" s="1" t="e">
        <f>#REF!</f>
        <v>#REF!</v>
      </c>
      <c r="L71" s="1" t="e">
        <f t="shared" ref="L71:L102" si="2">IF(K71="PASSED","∕","")</f>
        <v>#REF!</v>
      </c>
      <c r="M71" s="1"/>
    </row>
    <row r="72" spans="1:13" hidden="1" x14ac:dyDescent="0.3">
      <c r="A72" s="184"/>
      <c r="B72" s="7" t="e">
        <f>IF(#REF!="Core","Core",IF(#REF!="Applied","Applied",IF(#REF!="Specialized","Specialized",IF(#REF!="Other_Subjects","Other_Subjects"))))</f>
        <v>#REF!</v>
      </c>
      <c r="C72" s="1"/>
      <c r="D72" s="1"/>
      <c r="E72" s="1"/>
      <c r="I72" s="184"/>
      <c r="J72" s="1" t="e">
        <f>#REF!</f>
        <v>#REF!</v>
      </c>
      <c r="K72" s="1" t="e">
        <f>#REF!</f>
        <v>#REF!</v>
      </c>
      <c r="L72" s="1" t="e">
        <f t="shared" si="2"/>
        <v>#REF!</v>
      </c>
      <c r="M72" s="1"/>
    </row>
    <row r="73" spans="1:13" hidden="1" x14ac:dyDescent="0.3">
      <c r="A73" s="184"/>
      <c r="B73" s="7" t="e">
        <f>IF(#REF!="Core","Core",IF(#REF!="Applied","Applied",IF(#REF!="Specialized","Specialized",IF(#REF!="Other_Subjects","Other_Subjects"))))</f>
        <v>#REF!</v>
      </c>
      <c r="C73" s="1"/>
      <c r="D73" s="1"/>
      <c r="E73" s="1"/>
      <c r="I73" s="184"/>
      <c r="J73" s="1" t="e">
        <f>#REF!</f>
        <v>#REF!</v>
      </c>
      <c r="K73" s="1" t="e">
        <f>#REF!</f>
        <v>#REF!</v>
      </c>
      <c r="L73" s="1" t="e">
        <f t="shared" si="2"/>
        <v>#REF!</v>
      </c>
      <c r="M73" s="1"/>
    </row>
    <row r="74" spans="1:13" hidden="1" x14ac:dyDescent="0.3">
      <c r="A74" s="184"/>
      <c r="B74" s="7" t="e">
        <f>IF(#REF!="Core","Core",IF(#REF!="Applied","Applied",IF(#REF!="Specialized","Specialized",IF(#REF!="Other_Subjects","Other_Subjects"))))</f>
        <v>#REF!</v>
      </c>
      <c r="C74" s="1"/>
      <c r="D74" s="1"/>
      <c r="E74" s="1"/>
      <c r="I74" s="184"/>
      <c r="J74" s="1" t="e">
        <f>#REF!</f>
        <v>#REF!</v>
      </c>
      <c r="K74" s="1" t="e">
        <f>#REF!</f>
        <v>#REF!</v>
      </c>
      <c r="L74" s="2" t="e">
        <f t="shared" si="2"/>
        <v>#REF!</v>
      </c>
    </row>
    <row r="75" spans="1:13" hidden="1" x14ac:dyDescent="0.3">
      <c r="A75" s="184"/>
      <c r="B75" s="7" t="e">
        <f>IF(#REF!="Core","Core",IF(#REF!="Applied","Applied",IF(#REF!="Specialized","Specialized",IF(#REF!="Other_Subjects","Other_Subjects"))))</f>
        <v>#REF!</v>
      </c>
      <c r="C75" s="1"/>
      <c r="D75" s="1"/>
      <c r="E75" s="1"/>
      <c r="I75" s="184"/>
      <c r="J75" s="1" t="e">
        <f>#REF!</f>
        <v>#REF!</v>
      </c>
      <c r="K75" s="1" t="e">
        <f>#REF!</f>
        <v>#REF!</v>
      </c>
      <c r="L75" s="2" t="e">
        <f t="shared" si="2"/>
        <v>#REF!</v>
      </c>
    </row>
    <row r="76" spans="1:13" hidden="1" x14ac:dyDescent="0.3">
      <c r="A76" s="184">
        <v>7</v>
      </c>
      <c r="B76" s="5" t="e">
        <f>IF(#REF!="Core","Core",IF(#REF!="Applied","Applied",IF(#REF!="Specialized","Specialized",IF(#REF!="Other_Subjects","Other_Subjects"))))</f>
        <v>#REF!</v>
      </c>
      <c r="I76" s="184"/>
      <c r="J76" s="1" t="e">
        <f>#REF!</f>
        <v>#REF!</v>
      </c>
      <c r="K76" s="1" t="e">
        <f>#REF!</f>
        <v>#REF!</v>
      </c>
      <c r="L76" s="2" t="e">
        <f t="shared" si="2"/>
        <v>#REF!</v>
      </c>
    </row>
    <row r="77" spans="1:13" hidden="1" x14ac:dyDescent="0.3">
      <c r="A77" s="184"/>
      <c r="B77" s="7" t="e">
        <f>IF(#REF!="Core","Core",IF(#REF!="Applied","Applied",IF(#REF!="Specialized","Specialized",IF(#REF!="Other_Subjects","Other_Subjects"))))</f>
        <v>#REF!</v>
      </c>
      <c r="I77" s="184"/>
      <c r="J77" s="1" t="e">
        <f>#REF!</f>
        <v>#REF!</v>
      </c>
      <c r="K77" s="1" t="e">
        <f>#REF!</f>
        <v>#REF!</v>
      </c>
      <c r="L77" s="2" t="e">
        <f t="shared" si="2"/>
        <v>#REF!</v>
      </c>
    </row>
    <row r="78" spans="1:13" hidden="1" x14ac:dyDescent="0.3">
      <c r="A78" s="184"/>
      <c r="B78" s="7" t="e">
        <f>IF(#REF!="Core","Core",IF(#REF!="Applied","Applied",IF(#REF!="Specialized","Specialized",IF(#REF!="Other_Subjects","Other_Subjects"))))</f>
        <v>#REF!</v>
      </c>
      <c r="I78" s="184"/>
      <c r="J78" s="1" t="e">
        <f>#REF!</f>
        <v>#REF!</v>
      </c>
      <c r="K78" s="1" t="e">
        <f>#REF!</f>
        <v>#REF!</v>
      </c>
      <c r="L78" s="2" t="e">
        <f t="shared" si="2"/>
        <v>#REF!</v>
      </c>
    </row>
    <row r="79" spans="1:13" hidden="1" x14ac:dyDescent="0.3">
      <c r="A79" s="184"/>
      <c r="B79" s="7" t="e">
        <f>IF(#REF!="Core","Core",IF(#REF!="Applied","Applied",IF(#REF!="Specialized","Specialized",IF(#REF!="Other_Subjects","Other_Subjects"))))</f>
        <v>#REF!</v>
      </c>
      <c r="I79" s="185">
        <v>8</v>
      </c>
      <c r="J79" s="1" t="e">
        <f>#REF!</f>
        <v>#REF!</v>
      </c>
      <c r="K79" s="1" t="e">
        <f>#REF!</f>
        <v>#REF!</v>
      </c>
      <c r="L79" s="2" t="e">
        <f t="shared" si="2"/>
        <v>#REF!</v>
      </c>
    </row>
    <row r="80" spans="1:13" hidden="1" x14ac:dyDescent="0.3">
      <c r="A80" s="184"/>
      <c r="B80" s="7" t="e">
        <f>IF(#REF!="Core","Core",IF(#REF!="Applied","Applied",IF(#REF!="Specialized","Specialized",IF(#REF!="Other_Subjects","Other_Subjects"))))</f>
        <v>#REF!</v>
      </c>
      <c r="I80" s="185"/>
      <c r="J80" s="1" t="e">
        <f>#REF!</f>
        <v>#REF!</v>
      </c>
      <c r="K80" s="1" t="e">
        <f>#REF!</f>
        <v>#REF!</v>
      </c>
      <c r="L80" s="2" t="e">
        <f t="shared" si="2"/>
        <v>#REF!</v>
      </c>
    </row>
    <row r="81" spans="1:12" hidden="1" x14ac:dyDescent="0.3">
      <c r="A81" s="184"/>
      <c r="B81" s="7" t="e">
        <f>IF(#REF!="Core","Core",IF(#REF!="Applied","Applied",IF(#REF!="Specialized","Specialized",IF(#REF!="Other_Subjects","Other_Subjects"))))</f>
        <v>#REF!</v>
      </c>
      <c r="I81" s="185"/>
      <c r="J81" s="1" t="e">
        <f>#REF!</f>
        <v>#REF!</v>
      </c>
      <c r="K81" s="1" t="e">
        <f>#REF!</f>
        <v>#REF!</v>
      </c>
      <c r="L81" s="2" t="e">
        <f t="shared" si="2"/>
        <v>#REF!</v>
      </c>
    </row>
    <row r="82" spans="1:12" hidden="1" x14ac:dyDescent="0.3">
      <c r="A82" s="184"/>
      <c r="B82" s="7" t="e">
        <f>IF(#REF!="Core","Core",IF(#REF!="Applied","Applied",IF(#REF!="Specialized","Specialized",IF(#REF!="Other_Subjects","Other_Subjects"))))</f>
        <v>#REF!</v>
      </c>
      <c r="I82" s="185"/>
      <c r="J82" s="1" t="e">
        <f>#REF!</f>
        <v>#REF!</v>
      </c>
      <c r="K82" s="1" t="e">
        <f>#REF!</f>
        <v>#REF!</v>
      </c>
      <c r="L82" s="2" t="e">
        <f t="shared" si="2"/>
        <v>#REF!</v>
      </c>
    </row>
    <row r="83" spans="1:12" hidden="1" x14ac:dyDescent="0.3">
      <c r="A83" s="184"/>
      <c r="B83" s="7" t="e">
        <f>IF(#REF!="Core","Core",IF(#REF!="Applied","Applied",IF(#REF!="Specialized","Specialized",IF(#REF!="Other_Subjects","Other_Subjects"))))</f>
        <v>#REF!</v>
      </c>
      <c r="I83" s="185"/>
      <c r="J83" s="1" t="e">
        <f>#REF!</f>
        <v>#REF!</v>
      </c>
      <c r="K83" s="1" t="e">
        <f>#REF!</f>
        <v>#REF!</v>
      </c>
      <c r="L83" s="2" t="e">
        <f t="shared" si="2"/>
        <v>#REF!</v>
      </c>
    </row>
    <row r="84" spans="1:12" hidden="1" x14ac:dyDescent="0.3">
      <c r="A84" s="184"/>
      <c r="B84" s="7" t="e">
        <f>IF(#REF!="Core","Core",IF(#REF!="Applied","Applied",IF(#REF!="Specialized","Specialized",IF(#REF!="Other_Subjects","Other_Subjects"))))</f>
        <v>#REF!</v>
      </c>
      <c r="I84" s="185"/>
      <c r="J84" s="1" t="e">
        <f>#REF!</f>
        <v>#REF!</v>
      </c>
      <c r="K84" s="1" t="e">
        <f>#REF!</f>
        <v>#REF!</v>
      </c>
      <c r="L84" s="2" t="e">
        <f t="shared" si="2"/>
        <v>#REF!</v>
      </c>
    </row>
    <row r="85" spans="1:12" hidden="1" x14ac:dyDescent="0.3">
      <c r="A85" s="184"/>
      <c r="B85" s="7" t="e">
        <f>IF(#REF!="Core","Core",IF(#REF!="Applied","Applied",IF(#REF!="Specialized","Specialized",IF(#REF!="Other_Subjects","Other_Subjects"))))</f>
        <v>#REF!</v>
      </c>
      <c r="I85" s="185"/>
      <c r="J85" s="1" t="e">
        <f>#REF!</f>
        <v>#REF!</v>
      </c>
      <c r="K85" s="1" t="e">
        <f>#REF!</f>
        <v>#REF!</v>
      </c>
      <c r="L85" s="2" t="e">
        <f t="shared" si="2"/>
        <v>#REF!</v>
      </c>
    </row>
    <row r="86" spans="1:12" hidden="1" x14ac:dyDescent="0.3">
      <c r="A86" s="184"/>
      <c r="B86" s="7" t="e">
        <f>IF(#REF!="Core","Core",IF(#REF!="Applied","Applied",IF(#REF!="Specialized","Specialized",IF(#REF!="Other_Subjects","Other_Subjects"))))</f>
        <v>#REF!</v>
      </c>
      <c r="I86" s="185"/>
      <c r="J86" s="1" t="e">
        <f>#REF!</f>
        <v>#REF!</v>
      </c>
      <c r="K86" s="1" t="e">
        <f>#REF!</f>
        <v>#REF!</v>
      </c>
      <c r="L86" s="2" t="e">
        <f t="shared" si="2"/>
        <v>#REF!</v>
      </c>
    </row>
    <row r="87" spans="1:12" hidden="1" x14ac:dyDescent="0.3">
      <c r="A87" s="184"/>
      <c r="B87" s="7" t="e">
        <f>IF(#REF!="Core","Core",IF(#REF!="Applied","Applied",IF(#REF!="Specialized","Specialized",IF(#REF!="Other_Subjects","Other_Subjects"))))</f>
        <v>#REF!</v>
      </c>
      <c r="L87" s="2" t="str">
        <f t="shared" si="2"/>
        <v/>
      </c>
    </row>
    <row r="88" spans="1:12" hidden="1" x14ac:dyDescent="0.3">
      <c r="A88" s="184">
        <v>8</v>
      </c>
      <c r="B88" s="5" t="e">
        <f>IF(#REF!="Core","Core",IF(#REF!="Applied","Applied",IF(#REF!="Specialized","Specialized",IF(#REF!="Other_Subjects","Other_Subjects"))))</f>
        <v>#REF!</v>
      </c>
    </row>
    <row r="89" spans="1:12" hidden="1" x14ac:dyDescent="0.3">
      <c r="A89" s="184"/>
      <c r="B89" s="7" t="e">
        <f>IF(#REF!="Core","Core",IF(#REF!="Applied","Applied",IF(#REF!="Specialized","Specialized",IF(#REF!="Other_Subjects","Other_Subjects"))))</f>
        <v>#REF!</v>
      </c>
    </row>
    <row r="90" spans="1:12" hidden="1" x14ac:dyDescent="0.3">
      <c r="A90" s="184"/>
      <c r="B90" s="7" t="e">
        <f>IF(#REF!="Core","Core",IF(#REF!="Applied","Applied",IF(#REF!="Specialized","Specialized",IF(#REF!="Other_Subjects","Other_Subjects"))))</f>
        <v>#REF!</v>
      </c>
    </row>
    <row r="91" spans="1:12" hidden="1" x14ac:dyDescent="0.3">
      <c r="A91" s="184"/>
      <c r="B91" s="7" t="e">
        <f>IF(#REF!="Core","Core",IF(#REF!="Applied","Applied",IF(#REF!="Specialized","Specialized",IF(#REF!="Other_Subjects","Other_Subjects"))))</f>
        <v>#REF!</v>
      </c>
    </row>
    <row r="92" spans="1:12" hidden="1" x14ac:dyDescent="0.3">
      <c r="A92" s="184"/>
      <c r="B92" s="7" t="e">
        <f>IF(#REF!="Core","Core",IF(#REF!="Applied","Applied",IF(#REF!="Specialized","Specialized",IF(#REF!="Other_Subjects","Other_Subjects"))))</f>
        <v>#REF!</v>
      </c>
    </row>
    <row r="93" spans="1:12" hidden="1" x14ac:dyDescent="0.3">
      <c r="A93" s="184"/>
      <c r="B93" s="7" t="e">
        <f>IF(#REF!="Core","Core",IF(#REF!="Applied","Applied",IF(#REF!="Specialized","Specialized",IF(#REF!="Other_Subjects","Other_Subjects"))))</f>
        <v>#REF!</v>
      </c>
    </row>
    <row r="94" spans="1:12" hidden="1" x14ac:dyDescent="0.3">
      <c r="A94" s="184"/>
      <c r="B94" s="7" t="e">
        <f>IF(#REF!="Core","Core",IF(#REF!="Applied","Applied",IF(#REF!="Specialized","Specialized",IF(#REF!="Other_Subjects","Other_Subjects"))))</f>
        <v>#REF!</v>
      </c>
    </row>
    <row r="95" spans="1:12" hidden="1" x14ac:dyDescent="0.3">
      <c r="A95" s="184"/>
      <c r="B95" s="7" t="e">
        <f>IF(#REF!="Core","Core",IF(#REF!="Applied","Applied",IF(#REF!="Specialized","Specialized",IF(#REF!="Other_Subjects","Other_Subjects"))))</f>
        <v>#REF!</v>
      </c>
    </row>
    <row r="96" spans="1:12" hidden="1" x14ac:dyDescent="0.3">
      <c r="A96" s="184"/>
      <c r="B96" s="7" t="e">
        <f>IF(#REF!="Core","Core",IF(#REF!="Applied","Applied",IF(#REF!="Specialized","Specialized",IF(#REF!="Other_Subjects","Other_Subjects"))))</f>
        <v>#REF!</v>
      </c>
    </row>
    <row r="97" spans="1:2" hidden="1" x14ac:dyDescent="0.3">
      <c r="A97" s="184"/>
      <c r="B97" s="7" t="e">
        <f>IF(#REF!="Core","Core",IF(#REF!="Applied","Applied",IF(#REF!="Specialized","Specialized",IF(#REF!="Other_Subjects","Other_Subjects"))))</f>
        <v>#REF!</v>
      </c>
    </row>
    <row r="98" spans="1:2" hidden="1" x14ac:dyDescent="0.3">
      <c r="A98" s="184"/>
      <c r="B98" s="7" t="e">
        <f>IF(#REF!="Core","Core",IF(#REF!="Applied","Applied",IF(#REF!="Specialized","Specialized",IF(#REF!="Other_Subjects","Other_Subjects"))))</f>
        <v>#REF!</v>
      </c>
    </row>
    <row r="99" spans="1:2" hidden="1" x14ac:dyDescent="0.3">
      <c r="A99" s="184"/>
      <c r="B99" s="9" t="e">
        <f>IF(#REF!="Core","Core",IF(#REF!="Applied","Applied",IF(#REF!="Specialized","Specialized",IF(#REF!="Other_Subjects","Other_Subjects"))))</f>
        <v>#REF!</v>
      </c>
    </row>
    <row r="100" spans="1:2" x14ac:dyDescent="0.3">
      <c r="A100" s="186"/>
    </row>
    <row r="101" spans="1:2" x14ac:dyDescent="0.3">
      <c r="A101" s="186"/>
    </row>
    <row r="102" spans="1:2" x14ac:dyDescent="0.3">
      <c r="A102" s="186"/>
    </row>
    <row r="103" spans="1:2" x14ac:dyDescent="0.3">
      <c r="A103" s="186"/>
    </row>
    <row r="104" spans="1:2" x14ac:dyDescent="0.3">
      <c r="A104" s="186"/>
    </row>
    <row r="105" spans="1:2" x14ac:dyDescent="0.3">
      <c r="A105" s="186"/>
    </row>
    <row r="106" spans="1:2" x14ac:dyDescent="0.3">
      <c r="A106" s="186"/>
    </row>
    <row r="107" spans="1:2" x14ac:dyDescent="0.3">
      <c r="A107" s="186"/>
    </row>
    <row r="108" spans="1:2" x14ac:dyDescent="0.3">
      <c r="A108" s="186"/>
    </row>
    <row r="109" spans="1:2" x14ac:dyDescent="0.3">
      <c r="A109" s="186"/>
    </row>
    <row r="110" spans="1:2" x14ac:dyDescent="0.3">
      <c r="A110" s="186"/>
    </row>
    <row r="111" spans="1:2" x14ac:dyDescent="0.3">
      <c r="A111" s="186"/>
    </row>
  </sheetData>
  <sheetProtection algorithmName="SHA-512" hashValue="XqJbN5JKlP+ckWcE0PzoeoXVS8JnDiO4097HrrK8ZQKjHGMcRFiop9Y7TDMK7yRiWdRd+E9s3p8dSxbf8JoUUQ==" saltValue="K671/WoBHk5CiYX06pGHWQ==" spinCount="100000" sheet="1" objects="1" scenarios="1"/>
  <mergeCells count="19">
    <mergeCell ref="B1:E1"/>
    <mergeCell ref="B2:E2"/>
    <mergeCell ref="A4:A15"/>
    <mergeCell ref="A16:A27"/>
    <mergeCell ref="A28:A39"/>
    <mergeCell ref="A40:A51"/>
    <mergeCell ref="I79:I86"/>
    <mergeCell ref="A76:A87"/>
    <mergeCell ref="A88:A99"/>
    <mergeCell ref="A100:A111"/>
    <mergeCell ref="I59:I66"/>
    <mergeCell ref="I67:I78"/>
    <mergeCell ref="A52:A63"/>
    <mergeCell ref="A64:A75"/>
    <mergeCell ref="I7:I18"/>
    <mergeCell ref="I19:I26"/>
    <mergeCell ref="I27:I38"/>
    <mergeCell ref="I39:I46"/>
    <mergeCell ref="I47:I58"/>
  </mergeCells>
  <hyperlinks>
    <hyperlink ref="B2" r:id="rId1" xr:uid="{00000000-0004-0000-0200-000000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SF9 FRONT (G11)</vt:lpstr>
      <vt:lpstr>SF9 BACK (G11)</vt:lpstr>
      <vt:lpstr>Applied</vt:lpstr>
      <vt:lpstr>Core</vt:lpstr>
      <vt:lpstr>Other_Subjects</vt:lpstr>
      <vt:lpstr>'SF9 BACK (G11)'!Print_Area</vt:lpstr>
      <vt:lpstr>'SF9 FRONT (G11)'!Print_Area</vt:lpstr>
      <vt:lpstr>Specialized</vt:lpstr>
      <vt:lpstr>'Helper(IMPORTANT!)'!Z_10225561_8BCB_4AAB_A96B_034D76D8C0EB_.wvu.Rows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Sabrina Ongkiko;Yong Barba</dc:creator>
  <cp:keywords>SF10-SHS</cp:keywords>
  <dc:description/>
  <cp:lastModifiedBy>Janna Hadji Rashid</cp:lastModifiedBy>
  <dcterms:created xsi:type="dcterms:W3CDTF">2016-08-03T07:51:07Z</dcterms:created>
  <dcterms:modified xsi:type="dcterms:W3CDTF">2025-11-18T08:33:08Z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0x0101004AC07AFB6C45F54591030CE9D3255067</vt:lpwstr>
  </property>
</Properties>
</file>